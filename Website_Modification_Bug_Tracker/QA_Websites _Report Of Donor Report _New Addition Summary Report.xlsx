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harjahcharityint-my.sharepoint.com/personal/abida_gul_sharjahcharityint_onmicrosoft_com/Documents/Documents/TFS Testing Report/"/>
    </mc:Choice>
  </mc:AlternateContent>
  <bookViews>
    <workbookView xWindow="0" yWindow="0" windowWidth="28800" windowHeight="11880" tabRatio="500" activeTab="1"/>
  </bookViews>
  <sheets>
    <sheet name="📊 Dashboard" sheetId="1" r:id="rId1"/>
    <sheet name="📋 Bug Details" sheetId="2" r:id="rId2"/>
    <sheet name="✅ Status Tracker" sheetId="3" r:id="rId3"/>
    <sheet name="🌐 Localization Issues" sheetId="4" r:id="rId4"/>
    <sheet name="🎨 UX Improvements" sheetId="5" r:id="rId5"/>
  </sheets>
  <definedNames>
    <definedName name="_xlnm._FilterDatabase" localSheetId="2" hidden="1">'✅ Status Tracker'!$A$2:$J$2</definedName>
    <definedName name="_xlnm._FilterDatabase" localSheetId="3" hidden="1">'🌐 Localization Issues'!$A$2:$G$2</definedName>
    <definedName name="_xlnm._FilterDatabase" localSheetId="4" hidden="1">'🎨 UX Improvements'!$A$2:$F$2</definedName>
    <definedName name="_xlnm._FilterDatabase" localSheetId="0" hidden="1">'📊 Dashboard'!$A$9:$J$9</definedName>
    <definedName name="_xlnm._FilterDatabase" localSheetId="1" hidden="1">'📋 Bug Details'!$A$2:$L$2</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0" i="3" l="1"/>
  <c r="B19" i="3"/>
  <c r="B18" i="3"/>
  <c r="B17" i="3"/>
  <c r="B16" i="3"/>
</calcChain>
</file>

<file path=xl/sharedStrings.xml><?xml version="1.0" encoding="utf-8"?>
<sst xmlns="http://schemas.openxmlformats.org/spreadsheetml/2006/main" count="496" uniqueCount="203">
  <si>
    <t>🌐  QA TESTING REPORT — DONOR PORTAL BUG TRACKER DASHBOARD</t>
  </si>
  <si>
    <t>Organization: Sharjah Charity International  |  Module: Donor Portal – My Profile Screen  |  Prepared By: Abida Gul  |  Date: 06 April 2026  |  Doc ID: SCI-QA-APR-2026-001</t>
  </si>
  <si>
    <t>📋 TOTAL BUGS
11</t>
  </si>
  <si>
    <t>🔴 HIGH PRIORITY
9</t>
  </si>
  <si>
    <t>🟠 MEDIUM PRIORITY
2</t>
  </si>
  <si>
    <t>🚨 CRITICAL SEV.
0</t>
  </si>
  <si>
    <t>⚠️ MAJOR SEV.
10</t>
  </si>
  <si>
    <t>🟡 MINOR SEV.
1</t>
  </si>
  <si>
    <t>🌐 ENVIRONMENT
UAT/Staging/Live</t>
  </si>
  <si>
    <t xml:space="preserve">  📌  BUG SUMMARY TABLE</t>
  </si>
  <si>
    <t>#</t>
  </si>
  <si>
    <t>Bug ID</t>
  </si>
  <si>
    <t>Bug Title</t>
  </si>
  <si>
    <t>Issue Type</t>
  </si>
  <si>
    <t>Priority</t>
  </si>
  <si>
    <t>Severity</t>
  </si>
  <si>
    <t>Feature / Screen</t>
  </si>
  <si>
    <t>URL</t>
  </si>
  <si>
    <t>Reproducibility</t>
  </si>
  <si>
    <t>Status</t>
  </si>
  <si>
    <t>BUG-001</t>
  </si>
  <si>
    <t>Email displayed in Name field instead of actual name</t>
  </si>
  <si>
    <t>Bug</t>
  </si>
  <si>
    <t>🔴 High</t>
  </si>
  <si>
    <t>⚠️ Major</t>
  </si>
  <si>
    <t>Profile Display</t>
  </si>
  <si>
    <t>/admin/myprofile</t>
  </si>
  <si>
    <t>Always</t>
  </si>
  <si>
    <t>🔵 Open</t>
  </si>
  <si>
    <t>BUG-002</t>
  </si>
  <si>
    <t>Generic 400-error message on Update Profile (missing required field)</t>
  </si>
  <si>
    <t>Profile Update Validation</t>
  </si>
  <si>
    <t>BUG-003</t>
  </si>
  <si>
    <t>Error alert shown in English after switching portal to Arabic</t>
  </si>
  <si>
    <t>High</t>
  </si>
  <si>
    <t>Profile Localization (AR)</t>
  </si>
  <si>
    <t>BUG-004</t>
  </si>
  <si>
    <t>Country name, success &amp; error messages in English on Arabic UI</t>
  </si>
  <si>
    <t>BUG-005</t>
  </si>
  <si>
    <t>Intermittent 400 error after language switch with valid data</t>
  </si>
  <si>
    <t>Profile Update / Language Switch</t>
  </si>
  <si>
    <t>Intermittent</t>
  </si>
  <si>
    <t>BUG-006</t>
  </si>
  <si>
    <t>Password &amp; Confirm Password fields cleared after submission</t>
  </si>
  <si>
    <t>Medium</t>
  </si>
  <si>
    <t>Minor/Major</t>
  </si>
  <si>
    <t>Change Password</t>
  </si>
  <si>
    <t>BUG-007</t>
  </si>
  <si>
    <t>Selected country not retained/displayed after page refresh</t>
  </si>
  <si>
    <t>Profile Update (Data Persistence)</t>
  </si>
  <si>
    <t>BUG-008</t>
  </si>
  <si>
    <t>Country &amp; success message in Arabic when portal is in English</t>
  </si>
  <si>
    <t>Profile Localization (EN)</t>
  </si>
  <si>
    <t>Always / Intermittent</t>
  </si>
  <si>
    <t>BUG-009</t>
  </si>
  <si>
    <t>Update Profile button gets stuck, no success message shown</t>
  </si>
  <si>
    <t>Profile Update</t>
  </si>
  <si>
    <t>BUG-010</t>
  </si>
  <si>
    <t>Profile &amp; Change Password sections lack visual hierarchy/premium UX</t>
  </si>
  <si>
    <t>UX Improvement</t>
  </si>
  <si>
    <t>Minor</t>
  </si>
  <si>
    <t>Profile UI/UX</t>
  </si>
  <si>
    <t>BUG-011</t>
  </si>
  <si>
    <t>Donation list lacks filtering, sorting, alignment &amp; premium UI</t>
  </si>
  <si>
    <t>Donation List UI/UX</t>
  </si>
  <si>
    <t>/admin/donationlist</t>
  </si>
  <si>
    <t xml:space="preserve">  📦  Bugs by Category</t>
  </si>
  <si>
    <t xml:space="preserve">  🔺  Bugs by Priority</t>
  </si>
  <si>
    <t>Validation/Error</t>
  </si>
  <si>
    <t>🟠 Medium</t>
  </si>
  <si>
    <t>Localization (AR/EN)</t>
  </si>
  <si>
    <t>Data Persistence</t>
  </si>
  <si>
    <t>UI/UX Improvement</t>
  </si>
  <si>
    <t>🐞  DETAILED BUG LOG — Donor Portal | My Profile Screen | Sharjah Charity International</t>
  </si>
  <si>
    <t>Feature/Screen</t>
  </si>
  <si>
    <t>Steps to Reproduce</t>
  </si>
  <si>
    <t>Actual Result</t>
  </si>
  <si>
    <t>Expected Result</t>
  </si>
  <si>
    <t>Root Cause Area</t>
  </si>
  <si>
    <t>1. Open Donor Portal via email link
2. Login/auto-authenticate
3. Go to My Profile
4. Observe Name field</t>
  </si>
  <si>
    <t>Email ID shown in Name field (e.g., mahmoud.55577@gmail.com)</t>
  </si>
  <si>
    <t>Actual user name shown in Name field; email only in Email field (read-only)</t>
  </si>
  <si>
    <t>Auth/Profile mapping issue</t>
  </si>
  <si>
    <t>shjci.sharjah.ae/admin/myprofile</t>
  </si>
  <si>
    <t>1. Login to Donor Portal
2. Go to My Profile
3. Leave Country unselected
4. Click Update Profile
5. Observe error message</t>
  </si>
  <si>
    <t>"Request failed with status code 400" shown; no field-level validation</t>
  </si>
  <si>
    <t>User-friendly validation: "Please select a country" near field; no backend error exposed</t>
  </si>
  <si>
    <t>Frontend validation missing; raw API error exposed</t>
  </si>
  <si>
    <t>Profile Localization (Arabic)</t>
  </si>
  <si>
    <t>1. Login
2. Go to My Profile
3. Switch to Arabic
4. Leave required field empty
5. Click Update Profile
6. Observe alert</t>
  </si>
  <si>
    <t>Error alert shown in English: "Request failed with status code 400"</t>
  </si>
  <si>
    <t>All alerts/errors displayed in Arabic when portal language is Arabic</t>
  </si>
  <si>
    <t>Localization not applied to error messages</t>
  </si>
  <si>
    <t>1. Login
2. Go to My Profile
3. Select country (e.g., Bangladesh)
4. Switch to Arabic
5. Observe country field
6. Click Update Profile
7. Observe success/error message</t>
  </si>
  <si>
    <t>Country name in English; success message in English; error alert in English — mixed UI</t>
  </si>
  <si>
    <t>All UI elements (country, messages, alerts) fully localized in Arabic</t>
  </si>
  <si>
    <t>Incomplete i18n/localization coverage</t>
  </si>
  <si>
    <t>1. Login
2. Go to My Profile
3. Fill valid data
4. Switch language (AR→EN)
5. Click Update Profile
6. Observe delay
7. Click again
8. Observe error</t>
  </si>
  <si>
    <t>First click hangs/delays; second click shows 400 error despite valid data</t>
  </si>
  <si>
    <t>Profile updates on first click; no delay; no 400 error; language switch does not affect API</t>
  </si>
  <si>
    <t>State management / API payload issue after language switch</t>
  </si>
  <si>
    <t>1. Login
2. Go to My Profile → Change Password
3. Enter Password and Confirm Password
4. Click Update Password
5. Observe fields after submission</t>
  </si>
  <si>
    <t>Success shown; both password fields immediately cleared without clear UX flow</t>
  </si>
  <si>
    <t>Fields stay visible until user acknowledges, OR cleared with clear UX confirmation flow</t>
  </si>
  <si>
    <t>Post-submission UX flow unclear</t>
  </si>
  <si>
    <t>Profile Update – Data Persistence</t>
  </si>
  <si>
    <t>1. Login
2. Go to My Profile
3. Select country (e.g., Bangladesh)
4. Click Update Profile
5. Refresh page
6. Observe Country field</t>
  </si>
  <si>
    <t>Country field is empty after refresh; selection not persisted</t>
  </si>
  <si>
    <t>Selected country persisted and displayed after refresh</t>
  </si>
  <si>
    <t>Data persistence / API response / UI binding issue</t>
  </si>
  <si>
    <t>Profile Localization (English)</t>
  </si>
  <si>
    <t>1. Login
2. Go to My Profile
3. Select country
4. Switch to English
5. Observe country value
6. Click Update Profile
7. Observe success message
8. Click Update again
9. Observe error</t>
  </si>
  <si>
    <t>Country in Arabic; success message in Arabic; 400 error on second update</t>
  </si>
  <si>
    <t>All content in English when portal is in English; no 400 error on valid re-submit</t>
  </si>
  <si>
    <t>Language state handling / localization mapping issue</t>
  </si>
  <si>
    <t>1. Login
2. Go to My Profile
3. Enter valid details + select country
4. Click Update Profile
5. Observe button and response</t>
  </si>
  <si>
    <t>Button gets stuck; no success confirmation message shown</t>
  </si>
  <si>
    <t>Request processed; button returns to normal; success message: "Profile updated successfully"</t>
  </si>
  <si>
    <t>API response handling / button state management</t>
  </si>
  <si>
    <t>1. Login
2. Go to My Profile
3. Observe layout of Update Profile + Change Password sections</t>
  </si>
  <si>
    <t>Both sections look visually similar; no hierarchy; flat/basic design; breadcrumb-style headings</t>
  </si>
  <si>
    <t>Clear visual separation; tabs (Profile | Security) or card-based layout; modern typography and hierarchy</t>
  </si>
  <si>
    <t>UI/UX design improvement needed</t>
  </si>
  <si>
    <t>1. Login
2. Navigate to Donation List
3. Observe table design, filters, sorting, actions</t>
  </si>
  <si>
    <t>No filters/sorting/pagination/action buttons; inconsistent header alignment; weak color hierarchy; no hover effect; no empty state</t>
  </si>
  <si>
    <t>Filters (date/amount/project/country), sorting, pagination, action buttons (view/download); modern responsive UI consistent with website theme</t>
  </si>
  <si>
    <t>shjci.sharjah.ae/admin/donationlist</t>
  </si>
  <si>
    <t>✅  BUG STATUS TRACKER — Donor Portal | Sharjah Charity International</t>
  </si>
  <si>
    <t>Short Title</t>
  </si>
  <si>
    <t>Date Reported</t>
  </si>
  <si>
    <t>Target Fix</t>
  </si>
  <si>
    <t>Dev Comments</t>
  </si>
  <si>
    <t>QA Verified</t>
  </si>
  <si>
    <t>Email in Name field instead of user name</t>
  </si>
  <si>
    <t>06 Apr 2026</t>
  </si>
  <si>
    <t>TBD</t>
  </si>
  <si>
    <t>⬜ Pending</t>
  </si>
  <si>
    <t>400-error on Update Profile (missing country)</t>
  </si>
  <si>
    <t>Error alert in English on Arabic portal</t>
  </si>
  <si>
    <t>Country/success/error not localized to Arabic</t>
  </si>
  <si>
    <t>Intermittent 400 error after language switch</t>
  </si>
  <si>
    <t>Password fields cleared after submission</t>
  </si>
  <si>
    <t>⚠️ Minor/Major</t>
  </si>
  <si>
    <t>Country not retained after page refresh</t>
  </si>
  <si>
    <t>Arabic content shown on English portal</t>
  </si>
  <si>
    <t>Update Profile button stuck, no success msg</t>
  </si>
  <si>
    <t>Profile/Password sections lack visual hierarchy</t>
  </si>
  <si>
    <t>⚠️ Minor</t>
  </si>
  <si>
    <t>Donation List lacks filters, sorting, actions</t>
  </si>
  <si>
    <t>Progress Summary</t>
  </si>
  <si>
    <t>Total Bugs</t>
  </si>
  <si>
    <t>Open</t>
  </si>
  <si>
    <t>In Progress</t>
  </si>
  <si>
    <t>Resolved</t>
  </si>
  <si>
    <t>Closed</t>
  </si>
  <si>
    <t>🌐  LOCALIZATION ISSUES — Deep Dive Analysis | Donor Portal</t>
  </si>
  <si>
    <t>Affected Element</t>
  </si>
  <si>
    <t>Language Expected</t>
  </si>
  <si>
    <t>Language Shown</t>
  </si>
  <si>
    <t>Screen</t>
  </si>
  <si>
    <t>Expected Behavior</t>
  </si>
  <si>
    <t>Error alert (400 error message)</t>
  </si>
  <si>
    <t>Arabic</t>
  </si>
  <si>
    <t>English</t>
  </si>
  <si>
    <t>My Profile</t>
  </si>
  <si>
    <t>Error alerts must match selected portal language (Arabic)</t>
  </si>
  <si>
    <t>Country name (e.g., Bangladesh)</t>
  </si>
  <si>
    <t>Country name localized to Arabic translation</t>
  </si>
  <si>
    <t>Success message after profile update</t>
  </si>
  <si>
    <t>Success message displayed in Arabic</t>
  </si>
  <si>
    <t>Error alert displayed in Arabic user-friendly text</t>
  </si>
  <si>
    <t>Country value (e.g., Azerbaijan)</t>
  </si>
  <si>
    <t>Country name shown in English when portal is in English</t>
  </si>
  <si>
    <t>Success message displayed in English</t>
  </si>
  <si>
    <t>💡  Root Cause: The application likely lacks proper i18n (internationalization) binding for dynamic error messages, API responses, and data labels. All user-facing strings should reference locale keys, not hardcoded English text.</t>
  </si>
  <si>
    <t>🎨  UX IMPROVEMENT ITEMS — Donor Portal | My Profile &amp; Donation List</t>
  </si>
  <si>
    <t>Section</t>
  </si>
  <si>
    <t>Current State</t>
  </si>
  <si>
    <t>Recommended Improvement</t>
  </si>
  <si>
    <t>Profile Page – Layout</t>
  </si>
  <si>
    <t>Both sections (Update Profile + Change Password) have identical flat styling; breadcrumb-style headings; no visual separation</t>
  </si>
  <si>
    <t>Add tabs (Profile | Security) OR card-based sections with distinct headers, spacing, and color hierarchy; modern typography</t>
  </si>
  <si>
    <t>Profile Page – Typography</t>
  </si>
  <si>
    <t>Headings use "Profile / Update Profile" format — feels like file path, not a page title</t>
  </si>
  <si>
    <t>Clean section titles: "Personal Information" and "Change Password"; bold section headers with icon support</t>
  </si>
  <si>
    <t>Donation List – Table UI</t>
  </si>
  <si>
    <t>No hover effects; inconsistent header alignment; grey/dull header; no visual depth</t>
  </si>
  <si>
    <t>Row hover highlight; consistent column alignment; colored header bar matching website theme; zebra striping</t>
  </si>
  <si>
    <t>Donation List – Filters</t>
  </si>
  <si>
    <t>No filters available on donation list</t>
  </si>
  <si>
    <t>Add filter panel: Date range, Amount range, Project, Country; collapsible filter bar</t>
  </si>
  <si>
    <t>Donation List – Sorting</t>
  </si>
  <si>
    <t>No sorting on any column</t>
  </si>
  <si>
    <t>Sortable column headers with up/down indicators on: Date, Amount, Project</t>
  </si>
  <si>
    <t>Donation List – Actions</t>
  </si>
  <si>
    <t>No action buttons on rows</t>
  </si>
  <si>
    <t>Add: View receipt, Download receipt (PDF); row-level action menu</t>
  </si>
  <si>
    <t>Donation List – Pagination</t>
  </si>
  <si>
    <t>No pagination or data count shown</t>
  </si>
  <si>
    <t>Add pagination controls; per-page selector (10/25/50); total record count display</t>
  </si>
  <si>
    <t>Donation List – Empty State</t>
  </si>
  <si>
    <t>No empty state UI when no donations exist</t>
  </si>
  <si>
    <t>Design a friendly empty state: illustration + message "No donations found" + CTA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</si>
</sst>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charset val="1"/>
    </font>
    <font>
      <b/>
      <sz val="16"/>
      <color rgb="FFFFFFFF"/>
      <name val="Arial"/>
      <charset val="1"/>
    </font>
    <font>
      <i/>
      <sz val="10"/>
      <color rgb="FFFFFFFF"/>
      <name val="Arial"/>
      <charset val="1"/>
    </font>
    <font>
      <b/>
      <sz val="12"/>
      <color rgb="FFFFFFFF"/>
      <name val="Arial"/>
      <charset val="1"/>
    </font>
    <font>
      <b/>
      <sz val="11"/>
      <color rgb="FFFFFFFF"/>
      <name val="Arial"/>
      <charset val="1"/>
    </font>
    <font>
      <sz val="10"/>
      <color rgb="FF000000"/>
      <name val="Arial"/>
      <charset val="1"/>
    </font>
    <font>
      <b/>
      <sz val="10"/>
      <color rgb="FFC0392B"/>
      <name val="Arial"/>
      <charset val="1"/>
    </font>
    <font>
      <b/>
      <sz val="10"/>
      <color rgb="FF2980B9"/>
      <name val="Arial"/>
      <charset val="1"/>
    </font>
    <font>
      <b/>
      <sz val="10"/>
      <color rgb="FF000000"/>
      <name val="Arial"/>
      <charset val="1"/>
    </font>
    <font>
      <b/>
      <sz val="14"/>
      <color rgb="FFFFFFFF"/>
      <name val="Arial"/>
      <charset val="1"/>
    </font>
    <font>
      <b/>
      <sz val="13"/>
      <color rgb="FFFFFFFF"/>
      <name val="Arial"/>
      <charset val="1"/>
    </font>
    <font>
      <b/>
      <sz val="10"/>
      <color rgb="FF6C3483"/>
      <name val="Arial"/>
      <charset val="1"/>
    </font>
  </fonts>
  <fills count="23">
    <fill>
      <patternFill patternType="none"/>
    </fill>
    <fill>
      <patternFill patternType="gray125"/>
    </fill>
    <fill>
      <patternFill patternType="solid">
        <fgColor rgb="FF1F3864"/>
        <bgColor rgb="FF333399"/>
      </patternFill>
    </fill>
    <fill>
      <patternFill patternType="solid">
        <fgColor rgb="FF2E86AB"/>
        <bgColor rgb="FF2980B9"/>
      </patternFill>
    </fill>
    <fill>
      <patternFill patternType="solid">
        <fgColor rgb="FF2980B9"/>
        <bgColor rgb="FF2E86AB"/>
      </patternFill>
    </fill>
    <fill>
      <patternFill patternType="solid">
        <fgColor rgb="FFE74C3C"/>
        <bgColor rgb="FFC0392B"/>
      </patternFill>
    </fill>
    <fill>
      <patternFill patternType="solid">
        <fgColor rgb="FFE67E22"/>
        <bgColor rgb="FFF39C12"/>
      </patternFill>
    </fill>
    <fill>
      <patternFill patternType="solid">
        <fgColor rgb="FF1A252F"/>
        <bgColor rgb="FF1F3864"/>
      </patternFill>
    </fill>
    <fill>
      <patternFill patternType="solid">
        <fgColor rgb="FFF39C12"/>
        <bgColor rgb="FFE67E22"/>
      </patternFill>
    </fill>
    <fill>
      <patternFill patternType="solid">
        <fgColor rgb="FFF9F9F9"/>
        <bgColor rgb="FFF4F6F7"/>
      </patternFill>
    </fill>
    <fill>
      <patternFill patternType="solid">
        <fgColor rgb="FFFDEDEC"/>
        <bgColor rgb="FFF5EEF8"/>
      </patternFill>
    </fill>
    <fill>
      <patternFill patternType="solid">
        <fgColor rgb="FFFDEBD0"/>
        <bgColor rgb="FFFDEDEC"/>
      </patternFill>
    </fill>
    <fill>
      <patternFill patternType="solid">
        <fgColor rgb="FFEBF5FB"/>
        <bgColor rgb="FFF2F4F4"/>
      </patternFill>
    </fill>
    <fill>
      <patternFill patternType="solid">
        <fgColor rgb="FFFFFFFF"/>
        <bgColor rgb="FFFDFEFE"/>
      </patternFill>
    </fill>
    <fill>
      <patternFill patternType="solid">
        <fgColor rgb="FFFEF9E7"/>
        <bgColor rgb="FFF9F9F9"/>
      </patternFill>
    </fill>
    <fill>
      <patternFill patternType="solid">
        <fgColor rgb="FFFDFEFE"/>
        <bgColor rgb="FFFFFFFF"/>
      </patternFill>
    </fill>
    <fill>
      <patternFill patternType="solid">
        <fgColor rgb="FFF4F6F7"/>
        <bgColor rgb="FFF2F4F4"/>
      </patternFill>
    </fill>
    <fill>
      <patternFill patternType="solid">
        <fgColor rgb="FF27AE60"/>
        <bgColor rgb="FF2E86AB"/>
      </patternFill>
    </fill>
    <fill>
      <patternFill patternType="solid">
        <fgColor rgb="FFF2F4F4"/>
        <bgColor rgb="FFF4F6F7"/>
      </patternFill>
    </fill>
    <fill>
      <patternFill patternType="solid">
        <fgColor rgb="FF7D3C98"/>
        <bgColor rgb="FF6C3483"/>
      </patternFill>
    </fill>
    <fill>
      <patternFill patternType="solid">
        <fgColor rgb="FF6C3483"/>
        <bgColor rgb="FF7D3C98"/>
      </patternFill>
    </fill>
    <fill>
      <patternFill patternType="solid">
        <fgColor rgb="FFF5EEF8"/>
        <bgColor rgb="FFF2F4F4"/>
      </patternFill>
    </fill>
    <fill>
      <patternFill patternType="solid">
        <fgColor rgb="FFF0FAF0"/>
        <bgColor rgb="FFF4F6F7"/>
      </patternFill>
    </fill>
  </fills>
  <borders count="4">
    <border>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1" fillId="21" borderId="2" xfId="0" applyFont="1" applyFill="1" applyBorder="1" applyAlignment="1">
      <alignment horizontal="left" vertical="center" wrapText="1"/>
    </xf>
    <xf numFmtId="0" fontId="10" fillId="19" borderId="0" xfId="0" applyFont="1" applyFill="1" applyBorder="1" applyAlignment="1">
      <alignment horizontal="center" vertical="center"/>
    </xf>
    <xf numFmtId="0" fontId="9" fillId="17" borderId="0" xfId="0" applyFont="1" applyFill="1" applyBorder="1" applyAlignment="1">
      <alignment horizontal="center" vertical="center"/>
    </xf>
    <xf numFmtId="0" fontId="9" fillId="2" borderId="0" xfId="0" applyFont="1" applyFill="1" applyBorder="1" applyAlignment="1">
      <alignment horizontal="center" vertical="center"/>
    </xf>
    <xf numFmtId="0" fontId="4" fillId="7" borderId="2" xfId="0" applyFont="1" applyFill="1" applyBorder="1" applyAlignment="1">
      <alignment horizontal="center" vertical="center" wrapText="1"/>
    </xf>
    <xf numFmtId="0" fontId="3" fillId="7" borderId="2" xfId="0" applyFont="1" applyFill="1" applyBorder="1" applyAlignment="1">
      <alignment horizontal="left" vertical="center"/>
    </xf>
    <xf numFmtId="0" fontId="3" fillId="3"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4" fillId="3" borderId="3" xfId="0" applyFont="1" applyFill="1" applyBorder="1" applyAlignment="1">
      <alignment horizontal="center" vertical="center" wrapText="1"/>
    </xf>
    <xf numFmtId="0" fontId="5" fillId="9" borderId="3" xfId="0" applyFont="1" applyFill="1" applyBorder="1" applyAlignment="1">
      <alignment horizontal="left" vertical="center" wrapText="1"/>
    </xf>
    <xf numFmtId="0" fontId="5" fillId="11" borderId="3" xfId="0" applyFont="1" applyFill="1" applyBorder="1" applyAlignment="1">
      <alignment horizontal="left" vertical="center" wrapText="1"/>
    </xf>
    <xf numFmtId="0" fontId="7" fillId="12" borderId="3" xfId="0" applyFont="1" applyFill="1" applyBorder="1" applyAlignment="1">
      <alignment horizontal="center" vertical="center" wrapText="1"/>
    </xf>
    <xf numFmtId="0" fontId="5" fillId="13" borderId="3" xfId="0" applyFont="1" applyFill="1" applyBorder="1" applyAlignment="1">
      <alignment horizontal="left" vertical="center" wrapText="1"/>
    </xf>
    <xf numFmtId="0" fontId="5" fillId="14" borderId="3" xfId="0" applyFont="1" applyFill="1" applyBorder="1" applyAlignment="1">
      <alignment horizontal="left" vertical="center" wrapText="1"/>
    </xf>
    <xf numFmtId="0" fontId="5" fillId="15" borderId="3" xfId="0" applyFont="1" applyFill="1" applyBorder="1" applyAlignment="1">
      <alignment horizontal="left" vertical="center" wrapText="1"/>
    </xf>
    <xf numFmtId="0" fontId="5" fillId="16" borderId="3" xfId="0" applyFont="1" applyFill="1" applyBorder="1" applyAlignment="1">
      <alignment horizontal="left" vertical="center" wrapText="1"/>
    </xf>
    <xf numFmtId="0" fontId="8" fillId="12" borderId="3"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8" fillId="10" borderId="3" xfId="0" applyFont="1" applyFill="1" applyBorder="1" applyAlignment="1">
      <alignment horizontal="left" vertical="center" wrapText="1"/>
    </xf>
    <xf numFmtId="0" fontId="8" fillId="18" borderId="3" xfId="0" applyFont="1" applyFill="1" applyBorder="1" applyAlignment="1">
      <alignment horizontal="left" vertical="center" wrapText="1"/>
    </xf>
    <xf numFmtId="0" fontId="4" fillId="20"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5" fillId="21" borderId="3" xfId="0" applyFont="1" applyFill="1" applyBorder="1" applyAlignment="1">
      <alignment horizontal="left" vertical="center" wrapText="1"/>
    </xf>
    <xf numFmtId="0" fontId="5" fillId="22" borderId="3" xfId="0" applyFont="1" applyFill="1" applyBorder="1" applyAlignment="1">
      <alignment horizontal="left" vertical="center" wrapText="1"/>
    </xf>
    <xf numFmtId="0" fontId="10" fillId="17" borderId="0" xfId="0" applyFont="1" applyFill="1" applyBorder="1" applyAlignment="1">
      <alignment horizontal="center" vertical="center"/>
    </xf>
    <xf numFmtId="0" fontId="5" fillId="9" borderId="3"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5" fillId="14" borderId="3" xfId="0" applyFont="1" applyFill="1" applyBorder="1" applyAlignment="1">
      <alignment horizontal="center" vertical="center" wrapText="1"/>
    </xf>
    <xf numFmtId="0" fontId="5" fillId="11" borderId="3" xfId="0" applyFont="1" applyFill="1" applyBorder="1" applyAlignment="1">
      <alignment horizontal="center" vertical="center" wrapText="1"/>
    </xf>
    <xf numFmtId="0" fontId="5" fillId="15"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86AB"/>
      <rgbColor rgb="FFBFBFBF"/>
      <rgbColor rgb="FF808080"/>
      <rgbColor rgb="FF9999FF"/>
      <rgbColor rgb="FF7D3C98"/>
      <rgbColor rgb="FFFEF9E7"/>
      <rgbColor rgb="FFEBF5FB"/>
      <rgbColor rgb="FF660066"/>
      <rgbColor rgb="FFE74C3C"/>
      <rgbColor rgb="FF0066CC"/>
      <rgbColor rgb="FFF5EEF8"/>
      <rgbColor rgb="FF000080"/>
      <rgbColor rgb="FFFF00FF"/>
      <rgbColor rgb="FFFFFF00"/>
      <rgbColor rgb="FF00FFFF"/>
      <rgbColor rgb="FF800080"/>
      <rgbColor rgb="FF800000"/>
      <rgbColor rgb="FF2980B9"/>
      <rgbColor rgb="FF0000FF"/>
      <rgbColor rgb="FF00CCFF"/>
      <rgbColor rgb="FFF0FAF0"/>
      <rgbColor rgb="FFF2F4F4"/>
      <rgbColor rgb="FFFDEBD0"/>
      <rgbColor rgb="FFF4F6F7"/>
      <rgbColor rgb="FFF9F9F9"/>
      <rgbColor rgb="FFFDFEFE"/>
      <rgbColor rgb="FFFDEDEC"/>
      <rgbColor rgb="FF3366FF"/>
      <rgbColor rgb="FF33CCCC"/>
      <rgbColor rgb="FF99CC00"/>
      <rgbColor rgb="FFFFCC00"/>
      <rgbColor rgb="FFF39C12"/>
      <rgbColor rgb="FFE67E22"/>
      <rgbColor rgb="FF666699"/>
      <rgbColor rgb="FF969696"/>
      <rgbColor rgb="FF1F3864"/>
      <rgbColor rgb="FF27AE60"/>
      <rgbColor rgb="FF003300"/>
      <rgbColor rgb="FF333300"/>
      <rgbColor rgb="FFC0392B"/>
      <rgbColor rgb="FF6C3483"/>
      <rgbColor rgb="FF333399"/>
      <rgbColor rgb="FF1A25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N28"/>
  <sheetViews>
    <sheetView showGridLines="0" topLeftCell="A10" zoomScaleNormal="100" workbookViewId="0">
      <selection activeCell="C27" sqref="C27"/>
    </sheetView>
  </sheetViews>
  <sheetFormatPr defaultColWidth="8.7109375" defaultRowHeight="15" x14ac:dyDescent="0.25"/>
  <cols>
    <col min="1" max="1" width="14.85546875" customWidth="1"/>
    <col min="2" max="2" width="15.140625" customWidth="1"/>
    <col min="3" max="3" width="60.5703125" customWidth="1"/>
    <col min="4" max="4" width="27" style="36" customWidth="1"/>
    <col min="5" max="5" width="16.7109375" style="35" customWidth="1"/>
    <col min="6" max="6" width="18.42578125" customWidth="1"/>
    <col min="7" max="7" width="26" customWidth="1"/>
    <col min="8" max="8" width="30" customWidth="1"/>
    <col min="9" max="9" width="21.42578125" customWidth="1"/>
    <col min="10" max="10" width="12" customWidth="1"/>
    <col min="13" max="13" width="34.28515625" customWidth="1"/>
  </cols>
  <sheetData>
    <row r="1" spans="1:14" ht="36" customHeight="1" x14ac:dyDescent="0.25">
      <c r="A1" s="14" t="s">
        <v>0</v>
      </c>
      <c r="B1" s="14"/>
      <c r="C1" s="14"/>
      <c r="D1" s="14"/>
      <c r="E1" s="14"/>
      <c r="F1" s="14"/>
      <c r="G1" s="14"/>
      <c r="H1" s="14"/>
      <c r="I1" s="14"/>
      <c r="J1" s="14"/>
      <c r="K1" s="14"/>
      <c r="L1" s="14"/>
      <c r="M1" s="14"/>
    </row>
    <row r="2" spans="1:14" ht="22.5" customHeight="1" x14ac:dyDescent="0.25">
      <c r="A2" s="13" t="s">
        <v>1</v>
      </c>
      <c r="B2" s="13"/>
      <c r="C2" s="13"/>
      <c r="D2" s="13"/>
      <c r="E2" s="13"/>
      <c r="F2" s="13"/>
      <c r="G2" s="13"/>
      <c r="H2" s="13"/>
      <c r="I2" s="13"/>
      <c r="J2" s="13"/>
      <c r="K2" s="13"/>
      <c r="L2" s="13"/>
      <c r="M2" s="13"/>
    </row>
    <row r="4" spans="1:14" ht="21.75" customHeight="1" x14ac:dyDescent="0.25">
      <c r="A4" s="12" t="s">
        <v>2</v>
      </c>
      <c r="B4" s="12"/>
      <c r="C4" s="11" t="s">
        <v>3</v>
      </c>
      <c r="D4" s="11"/>
      <c r="E4" s="10" t="s">
        <v>4</v>
      </c>
      <c r="F4" s="10"/>
      <c r="G4" s="9" t="s">
        <v>5</v>
      </c>
      <c r="H4" s="9"/>
      <c r="I4" s="10" t="s">
        <v>6</v>
      </c>
      <c r="J4" s="10"/>
      <c r="K4" s="8" t="s">
        <v>7</v>
      </c>
      <c r="L4" s="8"/>
      <c r="M4" s="7" t="s">
        <v>8</v>
      </c>
      <c r="N4" s="7"/>
    </row>
    <row r="5" spans="1:14" ht="21.75" customHeight="1" x14ac:dyDescent="0.25">
      <c r="A5" s="12"/>
      <c r="B5" s="12"/>
      <c r="C5" s="11"/>
      <c r="D5" s="11"/>
      <c r="E5" s="10"/>
      <c r="F5" s="10"/>
      <c r="G5" s="9"/>
      <c r="H5" s="9"/>
      <c r="I5" s="10"/>
      <c r="J5" s="10"/>
      <c r="K5" s="8"/>
      <c r="L5" s="8"/>
      <c r="M5" s="7"/>
      <c r="N5" s="7"/>
    </row>
    <row r="6" spans="1:14" ht="21.75" customHeight="1" x14ac:dyDescent="0.25">
      <c r="A6" s="12"/>
      <c r="B6" s="12"/>
      <c r="C6" s="11"/>
      <c r="D6" s="11"/>
      <c r="E6" s="10"/>
      <c r="F6" s="10"/>
      <c r="G6" s="9"/>
      <c r="H6" s="9"/>
      <c r="I6" s="10"/>
      <c r="J6" s="10"/>
      <c r="K6" s="8"/>
      <c r="L6" s="8"/>
      <c r="M6" s="7"/>
      <c r="N6" s="7"/>
    </row>
    <row r="8" spans="1:14" ht="18" customHeight="1" x14ac:dyDescent="0.25">
      <c r="A8" s="6" t="s">
        <v>9</v>
      </c>
      <c r="B8" s="6"/>
      <c r="C8" s="6"/>
      <c r="D8" s="6"/>
      <c r="E8" s="6"/>
      <c r="F8" s="6"/>
      <c r="G8" s="6"/>
      <c r="H8" s="6"/>
      <c r="I8" s="6"/>
      <c r="J8" s="6"/>
      <c r="K8" s="6"/>
      <c r="L8" s="6"/>
      <c r="M8" s="6"/>
    </row>
    <row r="9" spans="1:14" ht="18" customHeight="1" x14ac:dyDescent="0.25">
      <c r="A9" s="15" t="s">
        <v>10</v>
      </c>
      <c r="B9" s="15" t="s">
        <v>11</v>
      </c>
      <c r="C9" s="15" t="s">
        <v>12</v>
      </c>
      <c r="D9" s="15" t="s">
        <v>13</v>
      </c>
      <c r="E9" s="15" t="s">
        <v>14</v>
      </c>
      <c r="F9" s="15" t="s">
        <v>15</v>
      </c>
      <c r="G9" s="15" t="s">
        <v>16</v>
      </c>
      <c r="H9" s="15" t="s">
        <v>17</v>
      </c>
      <c r="I9" s="15" t="s">
        <v>18</v>
      </c>
      <c r="J9" s="15" t="s">
        <v>19</v>
      </c>
    </row>
    <row r="10" spans="1:14" ht="33" customHeight="1" x14ac:dyDescent="0.25">
      <c r="A10" s="33">
        <v>1</v>
      </c>
      <c r="B10" s="16" t="s">
        <v>20</v>
      </c>
      <c r="C10" s="16" t="s">
        <v>21</v>
      </c>
      <c r="D10" s="33" t="s">
        <v>22</v>
      </c>
      <c r="E10" s="29" t="s">
        <v>23</v>
      </c>
      <c r="F10" s="17" t="s">
        <v>24</v>
      </c>
      <c r="G10" s="16" t="s">
        <v>25</v>
      </c>
      <c r="H10" s="16" t="s">
        <v>26</v>
      </c>
      <c r="I10" s="16" t="s">
        <v>27</v>
      </c>
      <c r="J10" s="18" t="s">
        <v>28</v>
      </c>
    </row>
    <row r="11" spans="1:14" ht="27.75" customHeight="1" x14ac:dyDescent="0.25">
      <c r="A11" s="34">
        <v>2</v>
      </c>
      <c r="B11" s="19" t="s">
        <v>29</v>
      </c>
      <c r="C11" s="19" t="s">
        <v>30</v>
      </c>
      <c r="D11" s="34" t="s">
        <v>22</v>
      </c>
      <c r="E11" s="29" t="s">
        <v>23</v>
      </c>
      <c r="F11" s="17" t="s">
        <v>24</v>
      </c>
      <c r="G11" s="19" t="s">
        <v>31</v>
      </c>
      <c r="H11" s="19" t="s">
        <v>26</v>
      </c>
      <c r="I11" s="19" t="s">
        <v>27</v>
      </c>
      <c r="J11" s="18" t="s">
        <v>28</v>
      </c>
    </row>
    <row r="12" spans="1:14" ht="27.75" customHeight="1" x14ac:dyDescent="0.25">
      <c r="A12" s="33">
        <v>3</v>
      </c>
      <c r="B12" s="16" t="s">
        <v>32</v>
      </c>
      <c r="C12" s="16" t="s">
        <v>33</v>
      </c>
      <c r="D12" s="33" t="s">
        <v>22</v>
      </c>
      <c r="E12" s="29" t="s">
        <v>34</v>
      </c>
      <c r="F12" s="17" t="s">
        <v>24</v>
      </c>
      <c r="G12" s="16" t="s">
        <v>35</v>
      </c>
      <c r="H12" s="16" t="s">
        <v>26</v>
      </c>
      <c r="I12" s="16" t="s">
        <v>27</v>
      </c>
      <c r="J12" s="18" t="s">
        <v>28</v>
      </c>
    </row>
    <row r="13" spans="1:14" ht="27.75" customHeight="1" x14ac:dyDescent="0.25">
      <c r="A13" s="34">
        <v>4</v>
      </c>
      <c r="B13" s="19" t="s">
        <v>36</v>
      </c>
      <c r="C13" s="19" t="s">
        <v>37</v>
      </c>
      <c r="D13" s="34" t="s">
        <v>22</v>
      </c>
      <c r="E13" s="29" t="s">
        <v>23</v>
      </c>
      <c r="F13" s="17" t="s">
        <v>24</v>
      </c>
      <c r="G13" s="19" t="s">
        <v>35</v>
      </c>
      <c r="H13" s="19" t="s">
        <v>26</v>
      </c>
      <c r="I13" s="19" t="s">
        <v>27</v>
      </c>
      <c r="J13" s="18" t="s">
        <v>28</v>
      </c>
    </row>
    <row r="14" spans="1:14" ht="32.25" customHeight="1" x14ac:dyDescent="0.25">
      <c r="A14" s="33">
        <v>5</v>
      </c>
      <c r="B14" s="16" t="s">
        <v>38</v>
      </c>
      <c r="C14" s="16" t="s">
        <v>39</v>
      </c>
      <c r="D14" s="33" t="s">
        <v>22</v>
      </c>
      <c r="E14" s="29" t="s">
        <v>23</v>
      </c>
      <c r="F14" s="17" t="s">
        <v>24</v>
      </c>
      <c r="G14" s="16" t="s">
        <v>40</v>
      </c>
      <c r="H14" s="16" t="s">
        <v>26</v>
      </c>
      <c r="I14" s="16" t="s">
        <v>41</v>
      </c>
      <c r="J14" s="18" t="s">
        <v>28</v>
      </c>
    </row>
    <row r="15" spans="1:14" ht="24" customHeight="1" x14ac:dyDescent="0.25">
      <c r="A15" s="34">
        <v>6</v>
      </c>
      <c r="B15" s="19" t="s">
        <v>42</v>
      </c>
      <c r="C15" s="19" t="s">
        <v>43</v>
      </c>
      <c r="D15" s="34" t="s">
        <v>22</v>
      </c>
      <c r="E15" s="37" t="s">
        <v>44</v>
      </c>
      <c r="F15" s="20" t="s">
        <v>45</v>
      </c>
      <c r="G15" s="19" t="s">
        <v>46</v>
      </c>
      <c r="H15" s="19" t="s">
        <v>26</v>
      </c>
      <c r="I15" s="19" t="s">
        <v>27</v>
      </c>
      <c r="J15" s="18" t="s">
        <v>28</v>
      </c>
    </row>
    <row r="16" spans="1:14" ht="27.75" customHeight="1" x14ac:dyDescent="0.25">
      <c r="A16" s="33">
        <v>7</v>
      </c>
      <c r="B16" s="16" t="s">
        <v>47</v>
      </c>
      <c r="C16" s="16" t="s">
        <v>48</v>
      </c>
      <c r="D16" s="33" t="s">
        <v>22</v>
      </c>
      <c r="E16" s="29" t="s">
        <v>23</v>
      </c>
      <c r="F16" s="17" t="s">
        <v>24</v>
      </c>
      <c r="G16" s="16" t="s">
        <v>49</v>
      </c>
      <c r="H16" s="16" t="s">
        <v>26</v>
      </c>
      <c r="I16" s="16" t="s">
        <v>27</v>
      </c>
      <c r="J16" s="18" t="s">
        <v>28</v>
      </c>
    </row>
    <row r="17" spans="1:10" ht="23.25" customHeight="1" x14ac:dyDescent="0.25">
      <c r="A17" s="34">
        <v>8</v>
      </c>
      <c r="B17" s="19" t="s">
        <v>50</v>
      </c>
      <c r="C17" s="19" t="s">
        <v>51</v>
      </c>
      <c r="D17" s="34" t="s">
        <v>22</v>
      </c>
      <c r="E17" s="29" t="s">
        <v>34</v>
      </c>
      <c r="F17" s="17" t="s">
        <v>24</v>
      </c>
      <c r="G17" s="19" t="s">
        <v>52</v>
      </c>
      <c r="H17" s="19" t="s">
        <v>26</v>
      </c>
      <c r="I17" s="19" t="s">
        <v>53</v>
      </c>
      <c r="J17" s="18" t="s">
        <v>28</v>
      </c>
    </row>
    <row r="18" spans="1:10" ht="24" customHeight="1" x14ac:dyDescent="0.25">
      <c r="A18" s="33">
        <v>9</v>
      </c>
      <c r="B18" s="16" t="s">
        <v>54</v>
      </c>
      <c r="C18" s="16" t="s">
        <v>55</v>
      </c>
      <c r="D18" s="33" t="s">
        <v>22</v>
      </c>
      <c r="E18" s="29" t="s">
        <v>34</v>
      </c>
      <c r="F18" s="17" t="s">
        <v>24</v>
      </c>
      <c r="G18" s="16" t="s">
        <v>56</v>
      </c>
      <c r="H18" s="16" t="s">
        <v>26</v>
      </c>
      <c r="I18" s="16" t="s">
        <v>41</v>
      </c>
      <c r="J18" s="18" t="s">
        <v>28</v>
      </c>
    </row>
    <row r="19" spans="1:10" ht="27" customHeight="1" x14ac:dyDescent="0.25">
      <c r="A19" s="34">
        <v>10</v>
      </c>
      <c r="B19" s="19" t="s">
        <v>57</v>
      </c>
      <c r="C19" s="19" t="s">
        <v>58</v>
      </c>
      <c r="D19" s="34" t="s">
        <v>59</v>
      </c>
      <c r="E19" s="37" t="s">
        <v>44</v>
      </c>
      <c r="F19" s="21" t="s">
        <v>60</v>
      </c>
      <c r="G19" s="19" t="s">
        <v>61</v>
      </c>
      <c r="H19" s="19" t="s">
        <v>26</v>
      </c>
      <c r="I19" s="19" t="s">
        <v>27</v>
      </c>
      <c r="J19" s="18" t="s">
        <v>28</v>
      </c>
    </row>
    <row r="20" spans="1:10" ht="29.25" customHeight="1" x14ac:dyDescent="0.25">
      <c r="A20" s="33">
        <v>11</v>
      </c>
      <c r="B20" s="16" t="s">
        <v>62</v>
      </c>
      <c r="C20" s="16" t="s">
        <v>63</v>
      </c>
      <c r="D20" s="33" t="s">
        <v>59</v>
      </c>
      <c r="E20" s="37" t="s">
        <v>44</v>
      </c>
      <c r="F20" s="17" t="s">
        <v>24</v>
      </c>
      <c r="G20" s="16" t="s">
        <v>64</v>
      </c>
      <c r="H20" s="16" t="s">
        <v>65</v>
      </c>
      <c r="I20" s="16" t="s">
        <v>27</v>
      </c>
      <c r="J20" s="18" t="s">
        <v>28</v>
      </c>
    </row>
    <row r="22" spans="1:10" ht="15.75" customHeight="1" x14ac:dyDescent="0.25">
      <c r="A22" s="5" t="s">
        <v>66</v>
      </c>
      <c r="B22" s="5"/>
      <c r="C22" s="5"/>
      <c r="E22" s="5" t="s">
        <v>67</v>
      </c>
      <c r="F22" s="5"/>
      <c r="G22" s="5"/>
    </row>
    <row r="23" spans="1:10" ht="30" customHeight="1" x14ac:dyDescent="0.25">
      <c r="A23" s="22" t="s">
        <v>25</v>
      </c>
      <c r="B23" s="23">
        <v>1</v>
      </c>
      <c r="E23" s="37" t="s">
        <v>23</v>
      </c>
      <c r="F23" s="24">
        <v>9</v>
      </c>
    </row>
    <row r="24" spans="1:10" ht="26.25" customHeight="1" x14ac:dyDescent="0.25">
      <c r="A24" s="22" t="s">
        <v>68</v>
      </c>
      <c r="B24" s="23">
        <v>1</v>
      </c>
      <c r="E24" s="37" t="s">
        <v>69</v>
      </c>
      <c r="F24" s="24">
        <v>2</v>
      </c>
    </row>
    <row r="25" spans="1:10" ht="28.5" customHeight="1" x14ac:dyDescent="0.25">
      <c r="A25" s="22" t="s">
        <v>70</v>
      </c>
      <c r="B25" s="23">
        <v>4</v>
      </c>
    </row>
    <row r="26" spans="1:10" ht="27" customHeight="1" x14ac:dyDescent="0.25">
      <c r="A26" s="22" t="s">
        <v>71</v>
      </c>
      <c r="B26" s="23">
        <v>1</v>
      </c>
    </row>
    <row r="27" spans="1:10" ht="27" customHeight="1" x14ac:dyDescent="0.25">
      <c r="A27" s="22" t="s">
        <v>56</v>
      </c>
      <c r="B27" s="23">
        <v>2</v>
      </c>
    </row>
    <row r="28" spans="1:10" ht="34.5" customHeight="1" x14ac:dyDescent="0.25">
      <c r="A28" s="22" t="s">
        <v>72</v>
      </c>
      <c r="B28" s="23">
        <v>2</v>
      </c>
    </row>
  </sheetData>
  <autoFilter ref="A9:J9"/>
  <mergeCells count="12">
    <mergeCell ref="A8:M8"/>
    <mergeCell ref="A22:C22"/>
    <mergeCell ref="E22:G22"/>
    <mergeCell ref="A1:M1"/>
    <mergeCell ref="A2:M2"/>
    <mergeCell ref="A4:B6"/>
    <mergeCell ref="C4:D6"/>
    <mergeCell ref="E4:F6"/>
    <mergeCell ref="G4:H6"/>
    <mergeCell ref="I4:J6"/>
    <mergeCell ref="K4:L6"/>
    <mergeCell ref="M4:N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74C3C"/>
  </sheetPr>
  <dimension ref="A1:L13"/>
  <sheetViews>
    <sheetView showGridLines="0" tabSelected="1" topLeftCell="A7" zoomScaleNormal="100" workbookViewId="0">
      <selection activeCell="C20" sqref="C20"/>
    </sheetView>
  </sheetViews>
  <sheetFormatPr defaultColWidth="8.7109375" defaultRowHeight="15" x14ac:dyDescent="0.25"/>
  <cols>
    <col min="1" max="1" width="12" customWidth="1"/>
    <col min="2" max="2" width="14" customWidth="1"/>
    <col min="3" max="3" width="15.28515625" style="35" customWidth="1"/>
    <col min="4" max="4" width="18.140625" style="35" customWidth="1"/>
    <col min="5" max="5" width="27.85546875" customWidth="1"/>
    <col min="6" max="6" width="50" customWidth="1"/>
    <col min="7" max="8" width="40" customWidth="1"/>
    <col min="9" max="9" width="32" customWidth="1"/>
    <col min="10" max="10" width="30" customWidth="1"/>
    <col min="11" max="11" width="18" style="35" customWidth="1"/>
    <col min="12" max="12" width="12" customWidth="1"/>
  </cols>
  <sheetData>
    <row r="1" spans="1:12" ht="30" customHeight="1" x14ac:dyDescent="0.25">
      <c r="A1" s="4" t="s">
        <v>73</v>
      </c>
      <c r="B1" s="4"/>
      <c r="C1" s="4"/>
      <c r="D1" s="4"/>
      <c r="E1" s="4"/>
      <c r="F1" s="4"/>
      <c r="G1" s="4"/>
      <c r="H1" s="4"/>
      <c r="I1" s="4"/>
      <c r="J1" s="4"/>
      <c r="K1" s="4"/>
      <c r="L1" s="4"/>
    </row>
    <row r="2" spans="1:12" ht="26.25" customHeight="1" x14ac:dyDescent="0.25">
      <c r="A2" s="15" t="s">
        <v>11</v>
      </c>
      <c r="B2" s="15" t="s">
        <v>13</v>
      </c>
      <c r="C2" s="15" t="s">
        <v>14</v>
      </c>
      <c r="D2" s="15" t="s">
        <v>15</v>
      </c>
      <c r="E2" s="15" t="s">
        <v>74</v>
      </c>
      <c r="F2" s="15" t="s">
        <v>75</v>
      </c>
      <c r="G2" s="15" t="s">
        <v>76</v>
      </c>
      <c r="H2" s="15" t="s">
        <v>77</v>
      </c>
      <c r="I2" s="15" t="s">
        <v>78</v>
      </c>
      <c r="J2" s="15" t="s">
        <v>17</v>
      </c>
      <c r="K2" s="15" t="s">
        <v>18</v>
      </c>
      <c r="L2" s="15" t="s">
        <v>19</v>
      </c>
    </row>
    <row r="3" spans="1:12" ht="70.5" customHeight="1" x14ac:dyDescent="0.25">
      <c r="A3" s="19" t="s">
        <v>20</v>
      </c>
      <c r="B3" s="19" t="s">
        <v>22</v>
      </c>
      <c r="C3" s="29" t="s">
        <v>23</v>
      </c>
      <c r="D3" s="38" t="s">
        <v>24</v>
      </c>
      <c r="E3" s="19" t="s">
        <v>25</v>
      </c>
      <c r="F3" s="19" t="s">
        <v>79</v>
      </c>
      <c r="G3" s="19" t="s">
        <v>80</v>
      </c>
      <c r="H3" s="19" t="s">
        <v>81</v>
      </c>
      <c r="I3" s="19" t="s">
        <v>82</v>
      </c>
      <c r="J3" s="19" t="s">
        <v>83</v>
      </c>
      <c r="K3" s="34" t="s">
        <v>27</v>
      </c>
      <c r="L3" s="18" t="s">
        <v>28</v>
      </c>
    </row>
    <row r="4" spans="1:12" ht="69" customHeight="1" x14ac:dyDescent="0.25">
      <c r="A4" s="20" t="s">
        <v>29</v>
      </c>
      <c r="B4" s="20" t="s">
        <v>22</v>
      </c>
      <c r="C4" s="29" t="s">
        <v>23</v>
      </c>
      <c r="D4" s="38" t="s">
        <v>24</v>
      </c>
      <c r="E4" s="20" t="s">
        <v>31</v>
      </c>
      <c r="F4" s="20" t="s">
        <v>84</v>
      </c>
      <c r="G4" s="20" t="s">
        <v>85</v>
      </c>
      <c r="H4" s="20" t="s">
        <v>86</v>
      </c>
      <c r="I4" s="20" t="s">
        <v>87</v>
      </c>
      <c r="J4" s="20" t="s">
        <v>83</v>
      </c>
      <c r="K4" s="37" t="s">
        <v>27</v>
      </c>
      <c r="L4" s="18" t="s">
        <v>28</v>
      </c>
    </row>
    <row r="5" spans="1:12" ht="90" customHeight="1" x14ac:dyDescent="0.25">
      <c r="A5" s="19" t="s">
        <v>32</v>
      </c>
      <c r="B5" s="19" t="s">
        <v>22</v>
      </c>
      <c r="C5" s="29" t="s">
        <v>34</v>
      </c>
      <c r="D5" s="38" t="s">
        <v>24</v>
      </c>
      <c r="E5" s="19" t="s">
        <v>88</v>
      </c>
      <c r="F5" s="19" t="s">
        <v>89</v>
      </c>
      <c r="G5" s="19" t="s">
        <v>90</v>
      </c>
      <c r="H5" s="19" t="s">
        <v>91</v>
      </c>
      <c r="I5" s="19" t="s">
        <v>92</v>
      </c>
      <c r="J5" s="19" t="s">
        <v>83</v>
      </c>
      <c r="K5" s="34" t="s">
        <v>27</v>
      </c>
      <c r="L5" s="18" t="s">
        <v>28</v>
      </c>
    </row>
    <row r="6" spans="1:12" ht="102.75" customHeight="1" x14ac:dyDescent="0.25">
      <c r="A6" s="20" t="s">
        <v>36</v>
      </c>
      <c r="B6" s="20" t="s">
        <v>22</v>
      </c>
      <c r="C6" s="29" t="s">
        <v>23</v>
      </c>
      <c r="D6" s="38" t="s">
        <v>24</v>
      </c>
      <c r="E6" s="20" t="s">
        <v>88</v>
      </c>
      <c r="F6" s="20" t="s">
        <v>93</v>
      </c>
      <c r="G6" s="20" t="s">
        <v>94</v>
      </c>
      <c r="H6" s="20" t="s">
        <v>95</v>
      </c>
      <c r="I6" s="20" t="s">
        <v>96</v>
      </c>
      <c r="J6" s="20" t="s">
        <v>83</v>
      </c>
      <c r="K6" s="37" t="s">
        <v>27</v>
      </c>
      <c r="L6" s="18" t="s">
        <v>28</v>
      </c>
    </row>
    <row r="7" spans="1:12" ht="116.25" customHeight="1" x14ac:dyDescent="0.25">
      <c r="A7" s="19" t="s">
        <v>38</v>
      </c>
      <c r="B7" s="19" t="s">
        <v>22</v>
      </c>
      <c r="C7" s="29" t="s">
        <v>23</v>
      </c>
      <c r="D7" s="38" t="s">
        <v>24</v>
      </c>
      <c r="E7" s="19" t="s">
        <v>40</v>
      </c>
      <c r="F7" s="19" t="s">
        <v>97</v>
      </c>
      <c r="G7" s="19" t="s">
        <v>98</v>
      </c>
      <c r="H7" s="19" t="s">
        <v>99</v>
      </c>
      <c r="I7" s="19" t="s">
        <v>100</v>
      </c>
      <c r="J7" s="19" t="s">
        <v>83</v>
      </c>
      <c r="K7" s="34" t="s">
        <v>41</v>
      </c>
      <c r="L7" s="18" t="s">
        <v>28</v>
      </c>
    </row>
    <row r="8" spans="1:12" ht="83.25" customHeight="1" x14ac:dyDescent="0.25">
      <c r="A8" s="20" t="s">
        <v>42</v>
      </c>
      <c r="B8" s="20" t="s">
        <v>22</v>
      </c>
      <c r="C8" s="37" t="s">
        <v>44</v>
      </c>
      <c r="D8" s="38" t="s">
        <v>45</v>
      </c>
      <c r="E8" s="20" t="s">
        <v>46</v>
      </c>
      <c r="F8" s="20" t="s">
        <v>101</v>
      </c>
      <c r="G8" s="20" t="s">
        <v>102</v>
      </c>
      <c r="H8" s="20" t="s">
        <v>103</v>
      </c>
      <c r="I8" s="20" t="s">
        <v>104</v>
      </c>
      <c r="J8" s="20" t="s">
        <v>83</v>
      </c>
      <c r="K8" s="37" t="s">
        <v>27</v>
      </c>
      <c r="L8" s="18" t="s">
        <v>28</v>
      </c>
    </row>
    <row r="9" spans="1:12" ht="102.75" customHeight="1" x14ac:dyDescent="0.25">
      <c r="A9" s="19" t="s">
        <v>47</v>
      </c>
      <c r="B9" s="19" t="s">
        <v>22</v>
      </c>
      <c r="C9" s="29" t="s">
        <v>23</v>
      </c>
      <c r="D9" s="38" t="s">
        <v>24</v>
      </c>
      <c r="E9" s="19" t="s">
        <v>105</v>
      </c>
      <c r="F9" s="19" t="s">
        <v>106</v>
      </c>
      <c r="G9" s="19" t="s">
        <v>107</v>
      </c>
      <c r="H9" s="19" t="s">
        <v>108</v>
      </c>
      <c r="I9" s="19" t="s">
        <v>109</v>
      </c>
      <c r="J9" s="19" t="s">
        <v>83</v>
      </c>
      <c r="K9" s="34" t="s">
        <v>27</v>
      </c>
      <c r="L9" s="18" t="s">
        <v>28</v>
      </c>
    </row>
    <row r="10" spans="1:12" ht="117" customHeight="1" x14ac:dyDescent="0.25">
      <c r="A10" s="20" t="s">
        <v>50</v>
      </c>
      <c r="B10" s="20" t="s">
        <v>22</v>
      </c>
      <c r="C10" s="29" t="s">
        <v>34</v>
      </c>
      <c r="D10" s="38" t="s">
        <v>24</v>
      </c>
      <c r="E10" s="20" t="s">
        <v>110</v>
      </c>
      <c r="F10" s="20" t="s">
        <v>111</v>
      </c>
      <c r="G10" s="20" t="s">
        <v>112</v>
      </c>
      <c r="H10" s="20" t="s">
        <v>113</v>
      </c>
      <c r="I10" s="20" t="s">
        <v>114</v>
      </c>
      <c r="J10" s="20" t="s">
        <v>83</v>
      </c>
      <c r="K10" s="37" t="s">
        <v>53</v>
      </c>
      <c r="L10" s="18" t="s">
        <v>28</v>
      </c>
    </row>
    <row r="11" spans="1:12" ht="82.5" customHeight="1" x14ac:dyDescent="0.25">
      <c r="A11" s="19" t="s">
        <v>54</v>
      </c>
      <c r="B11" s="19" t="s">
        <v>22</v>
      </c>
      <c r="C11" s="29" t="s">
        <v>34</v>
      </c>
      <c r="D11" s="38" t="s">
        <v>24</v>
      </c>
      <c r="E11" s="19" t="s">
        <v>56</v>
      </c>
      <c r="F11" s="19" t="s">
        <v>115</v>
      </c>
      <c r="G11" s="19" t="s">
        <v>116</v>
      </c>
      <c r="H11" s="19" t="s">
        <v>117</v>
      </c>
      <c r="I11" s="19" t="s">
        <v>118</v>
      </c>
      <c r="J11" s="19" t="s">
        <v>83</v>
      </c>
      <c r="K11" s="34" t="s">
        <v>41</v>
      </c>
      <c r="L11" s="18" t="s">
        <v>28</v>
      </c>
    </row>
    <row r="12" spans="1:12" ht="74.25" customHeight="1" x14ac:dyDescent="0.25">
      <c r="A12" s="20" t="s">
        <v>57</v>
      </c>
      <c r="B12" s="20" t="s">
        <v>59</v>
      </c>
      <c r="C12" s="37" t="s">
        <v>44</v>
      </c>
      <c r="D12" s="39" t="s">
        <v>60</v>
      </c>
      <c r="E12" s="20" t="s">
        <v>61</v>
      </c>
      <c r="F12" s="20" t="s">
        <v>119</v>
      </c>
      <c r="G12" s="20" t="s">
        <v>120</v>
      </c>
      <c r="H12" s="20" t="s">
        <v>121</v>
      </c>
      <c r="I12" s="20" t="s">
        <v>122</v>
      </c>
      <c r="J12" s="20" t="s">
        <v>83</v>
      </c>
      <c r="K12" s="37" t="s">
        <v>27</v>
      </c>
      <c r="L12" s="18" t="s">
        <v>28</v>
      </c>
    </row>
    <row r="13" spans="1:12" ht="69" customHeight="1" x14ac:dyDescent="0.25">
      <c r="A13" s="19" t="s">
        <v>62</v>
      </c>
      <c r="B13" s="19" t="s">
        <v>59</v>
      </c>
      <c r="C13" s="37" t="s">
        <v>44</v>
      </c>
      <c r="D13" s="38" t="s">
        <v>24</v>
      </c>
      <c r="E13" s="19" t="s">
        <v>64</v>
      </c>
      <c r="F13" s="19" t="s">
        <v>123</v>
      </c>
      <c r="G13" s="19" t="s">
        <v>124</v>
      </c>
      <c r="H13" s="19" t="s">
        <v>125</v>
      </c>
      <c r="I13" s="19" t="s">
        <v>122</v>
      </c>
      <c r="J13" s="19" t="s">
        <v>126</v>
      </c>
      <c r="K13" s="34" t="s">
        <v>27</v>
      </c>
      <c r="L13" s="18" t="s">
        <v>28</v>
      </c>
    </row>
  </sheetData>
  <autoFilter ref="A2:L2"/>
  <mergeCells count="1">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J20"/>
  <sheetViews>
    <sheetView showGridLines="0" topLeftCell="A7" zoomScaleNormal="100" workbookViewId="0">
      <selection activeCell="D25" sqref="D25"/>
    </sheetView>
  </sheetViews>
  <sheetFormatPr defaultColWidth="8.7109375" defaultRowHeight="15" x14ac:dyDescent="0.25"/>
  <cols>
    <col min="1" max="1" width="16.28515625" customWidth="1"/>
    <col min="2" max="2" width="54.140625" customWidth="1"/>
    <col min="3" max="3" width="17.7109375" customWidth="1"/>
    <col min="4" max="4" width="18.28515625" customWidth="1"/>
    <col min="5" max="5" width="19.42578125" customWidth="1"/>
    <col min="6" max="6" width="18.7109375" customWidth="1"/>
    <col min="7" max="7" width="18.140625" customWidth="1"/>
    <col min="8" max="8" width="19.28515625" customWidth="1"/>
    <col min="9" max="9" width="35" customWidth="1"/>
    <col min="10" max="10" width="13.5703125" customWidth="1"/>
  </cols>
  <sheetData>
    <row r="1" spans="1:10" ht="27.75" customHeight="1" x14ac:dyDescent="0.25">
      <c r="A1" s="3" t="s">
        <v>127</v>
      </c>
      <c r="B1" s="3"/>
      <c r="C1" s="3"/>
      <c r="D1" s="3"/>
      <c r="E1" s="3"/>
      <c r="F1" s="3"/>
      <c r="G1" s="3"/>
      <c r="H1" s="3"/>
      <c r="I1" s="3"/>
      <c r="J1" s="3"/>
    </row>
    <row r="2" spans="1:10" ht="30" x14ac:dyDescent="0.25">
      <c r="A2" s="25" t="s">
        <v>11</v>
      </c>
      <c r="B2" s="25" t="s">
        <v>128</v>
      </c>
      <c r="C2" s="25" t="s">
        <v>13</v>
      </c>
      <c r="D2" s="25" t="s">
        <v>14</v>
      </c>
      <c r="E2" s="25" t="s">
        <v>15</v>
      </c>
      <c r="F2" s="25" t="s">
        <v>129</v>
      </c>
      <c r="G2" s="25" t="s">
        <v>130</v>
      </c>
      <c r="H2" s="25" t="s">
        <v>19</v>
      </c>
      <c r="I2" s="25" t="s">
        <v>131</v>
      </c>
      <c r="J2" s="25" t="s">
        <v>132</v>
      </c>
    </row>
    <row r="3" spans="1:10" ht="19.5" customHeight="1" x14ac:dyDescent="0.25">
      <c r="A3" s="16" t="s">
        <v>20</v>
      </c>
      <c r="B3" s="16" t="s">
        <v>133</v>
      </c>
      <c r="C3" s="16" t="s">
        <v>22</v>
      </c>
      <c r="D3" s="26" t="s">
        <v>23</v>
      </c>
      <c r="E3" s="17" t="s">
        <v>24</v>
      </c>
      <c r="F3" s="16" t="s">
        <v>134</v>
      </c>
      <c r="G3" s="16" t="s">
        <v>135</v>
      </c>
      <c r="H3" s="18" t="s">
        <v>28</v>
      </c>
      <c r="I3" s="16"/>
      <c r="J3" s="16" t="s">
        <v>136</v>
      </c>
    </row>
    <row r="4" spans="1:10" ht="19.5" customHeight="1" x14ac:dyDescent="0.25">
      <c r="A4" s="19" t="s">
        <v>29</v>
      </c>
      <c r="B4" s="19" t="s">
        <v>137</v>
      </c>
      <c r="C4" s="19" t="s">
        <v>22</v>
      </c>
      <c r="D4" s="26" t="s">
        <v>23</v>
      </c>
      <c r="E4" s="17" t="s">
        <v>24</v>
      </c>
      <c r="F4" s="19" t="s">
        <v>134</v>
      </c>
      <c r="G4" s="19" t="s">
        <v>135</v>
      </c>
      <c r="H4" s="18" t="s">
        <v>28</v>
      </c>
      <c r="I4" s="19"/>
      <c r="J4" s="19" t="s">
        <v>136</v>
      </c>
    </row>
    <row r="5" spans="1:10" ht="19.5" customHeight="1" x14ac:dyDescent="0.25">
      <c r="A5" s="16" t="s">
        <v>32</v>
      </c>
      <c r="B5" s="16" t="s">
        <v>138</v>
      </c>
      <c r="C5" s="16" t="s">
        <v>22</v>
      </c>
      <c r="D5" s="26" t="s">
        <v>23</v>
      </c>
      <c r="E5" s="17" t="s">
        <v>24</v>
      </c>
      <c r="F5" s="16" t="s">
        <v>134</v>
      </c>
      <c r="G5" s="16" t="s">
        <v>135</v>
      </c>
      <c r="H5" s="18" t="s">
        <v>28</v>
      </c>
      <c r="I5" s="16"/>
      <c r="J5" s="16" t="s">
        <v>136</v>
      </c>
    </row>
    <row r="6" spans="1:10" ht="19.5" customHeight="1" x14ac:dyDescent="0.25">
      <c r="A6" s="19" t="s">
        <v>36</v>
      </c>
      <c r="B6" s="19" t="s">
        <v>139</v>
      </c>
      <c r="C6" s="19" t="s">
        <v>22</v>
      </c>
      <c r="D6" s="26" t="s">
        <v>23</v>
      </c>
      <c r="E6" s="17" t="s">
        <v>24</v>
      </c>
      <c r="F6" s="19" t="s">
        <v>134</v>
      </c>
      <c r="G6" s="19" t="s">
        <v>135</v>
      </c>
      <c r="H6" s="18" t="s">
        <v>28</v>
      </c>
      <c r="I6" s="19"/>
      <c r="J6" s="19" t="s">
        <v>136</v>
      </c>
    </row>
    <row r="7" spans="1:10" ht="19.5" customHeight="1" x14ac:dyDescent="0.25">
      <c r="A7" s="16" t="s">
        <v>38</v>
      </c>
      <c r="B7" s="16" t="s">
        <v>140</v>
      </c>
      <c r="C7" s="16" t="s">
        <v>22</v>
      </c>
      <c r="D7" s="26" t="s">
        <v>23</v>
      </c>
      <c r="E7" s="17" t="s">
        <v>24</v>
      </c>
      <c r="F7" s="16" t="s">
        <v>134</v>
      </c>
      <c r="G7" s="16" t="s">
        <v>135</v>
      </c>
      <c r="H7" s="18" t="s">
        <v>28</v>
      </c>
      <c r="I7" s="16"/>
      <c r="J7" s="16" t="s">
        <v>136</v>
      </c>
    </row>
    <row r="8" spans="1:10" ht="19.5" customHeight="1" x14ac:dyDescent="0.25">
      <c r="A8" s="19" t="s">
        <v>42</v>
      </c>
      <c r="B8" s="19" t="s">
        <v>141</v>
      </c>
      <c r="C8" s="19" t="s">
        <v>22</v>
      </c>
      <c r="D8" s="20" t="s">
        <v>69</v>
      </c>
      <c r="E8" s="17" t="s">
        <v>142</v>
      </c>
      <c r="F8" s="19" t="s">
        <v>134</v>
      </c>
      <c r="G8" s="19" t="s">
        <v>135</v>
      </c>
      <c r="H8" s="18" t="s">
        <v>28</v>
      </c>
      <c r="I8" s="19"/>
      <c r="J8" s="19" t="s">
        <v>136</v>
      </c>
    </row>
    <row r="9" spans="1:10" ht="19.5" customHeight="1" x14ac:dyDescent="0.25">
      <c r="A9" s="16" t="s">
        <v>47</v>
      </c>
      <c r="B9" s="16" t="s">
        <v>143</v>
      </c>
      <c r="C9" s="16" t="s">
        <v>22</v>
      </c>
      <c r="D9" s="26" t="s">
        <v>23</v>
      </c>
      <c r="E9" s="17" t="s">
        <v>24</v>
      </c>
      <c r="F9" s="16" t="s">
        <v>134</v>
      </c>
      <c r="G9" s="16" t="s">
        <v>135</v>
      </c>
      <c r="H9" s="18" t="s">
        <v>28</v>
      </c>
      <c r="I9" s="16"/>
      <c r="J9" s="16" t="s">
        <v>136</v>
      </c>
    </row>
    <row r="10" spans="1:10" ht="19.5" customHeight="1" x14ac:dyDescent="0.25">
      <c r="A10" s="19" t="s">
        <v>50</v>
      </c>
      <c r="B10" s="19" t="s">
        <v>144</v>
      </c>
      <c r="C10" s="19" t="s">
        <v>22</v>
      </c>
      <c r="D10" s="26" t="s">
        <v>23</v>
      </c>
      <c r="E10" s="17" t="s">
        <v>24</v>
      </c>
      <c r="F10" s="19" t="s">
        <v>134</v>
      </c>
      <c r="G10" s="19" t="s">
        <v>135</v>
      </c>
      <c r="H10" s="18" t="s">
        <v>28</v>
      </c>
      <c r="I10" s="19"/>
      <c r="J10" s="19" t="s">
        <v>136</v>
      </c>
    </row>
    <row r="11" spans="1:10" ht="19.5" customHeight="1" x14ac:dyDescent="0.25">
      <c r="A11" s="16" t="s">
        <v>54</v>
      </c>
      <c r="B11" s="16" t="s">
        <v>145</v>
      </c>
      <c r="C11" s="16" t="s">
        <v>22</v>
      </c>
      <c r="D11" s="26" t="s">
        <v>23</v>
      </c>
      <c r="E11" s="17" t="s">
        <v>24</v>
      </c>
      <c r="F11" s="16" t="s">
        <v>134</v>
      </c>
      <c r="G11" s="16" t="s">
        <v>135</v>
      </c>
      <c r="H11" s="18" t="s">
        <v>28</v>
      </c>
      <c r="I11" s="16"/>
      <c r="J11" s="16" t="s">
        <v>136</v>
      </c>
    </row>
    <row r="12" spans="1:10" ht="19.5" customHeight="1" x14ac:dyDescent="0.25">
      <c r="A12" s="19" t="s">
        <v>57</v>
      </c>
      <c r="B12" s="19" t="s">
        <v>146</v>
      </c>
      <c r="C12" s="19" t="s">
        <v>59</v>
      </c>
      <c r="D12" s="20" t="s">
        <v>69</v>
      </c>
      <c r="E12" s="21" t="s">
        <v>147</v>
      </c>
      <c r="F12" s="19" t="s">
        <v>134</v>
      </c>
      <c r="G12" s="19" t="s">
        <v>135</v>
      </c>
      <c r="H12" s="18" t="s">
        <v>28</v>
      </c>
      <c r="I12" s="19"/>
      <c r="J12" s="19" t="s">
        <v>136</v>
      </c>
    </row>
    <row r="13" spans="1:10" ht="19.5" customHeight="1" x14ac:dyDescent="0.25">
      <c r="A13" s="16" t="s">
        <v>62</v>
      </c>
      <c r="B13" s="16" t="s">
        <v>148</v>
      </c>
      <c r="C13" s="16" t="s">
        <v>59</v>
      </c>
      <c r="D13" s="20" t="s">
        <v>69</v>
      </c>
      <c r="E13" s="17" t="s">
        <v>24</v>
      </c>
      <c r="F13" s="16" t="s">
        <v>134</v>
      </c>
      <c r="G13" s="16" t="s">
        <v>135</v>
      </c>
      <c r="H13" s="18" t="s">
        <v>28</v>
      </c>
      <c r="I13" s="16"/>
      <c r="J13" s="16" t="s">
        <v>136</v>
      </c>
    </row>
    <row r="15" spans="1:10" ht="15.75" customHeight="1" x14ac:dyDescent="0.25">
      <c r="A15" s="5" t="s">
        <v>149</v>
      </c>
      <c r="B15" s="5"/>
      <c r="C15" s="5"/>
    </row>
    <row r="16" spans="1:10" ht="15.75" customHeight="1" x14ac:dyDescent="0.25">
      <c r="A16" s="27" t="s">
        <v>150</v>
      </c>
      <c r="B16" s="23">
        <f>COUNTA(A3:A13)</f>
        <v>11</v>
      </c>
    </row>
    <row r="17" spans="1:2" ht="15.75" customHeight="1" x14ac:dyDescent="0.25">
      <c r="A17" s="27" t="s">
        <v>151</v>
      </c>
      <c r="B17" s="23">
        <f>COUNTIF(H3:H13,"🔵 Open")</f>
        <v>11</v>
      </c>
    </row>
    <row r="18" spans="1:2" ht="15.75" customHeight="1" x14ac:dyDescent="0.25">
      <c r="A18" s="27" t="s">
        <v>152</v>
      </c>
      <c r="B18" s="23">
        <f>COUNTIF(H3:H13,"🟡 In Progress")</f>
        <v>0</v>
      </c>
    </row>
    <row r="19" spans="1:2" ht="15.75" customHeight="1" x14ac:dyDescent="0.25">
      <c r="A19" s="27" t="s">
        <v>153</v>
      </c>
      <c r="B19" s="23">
        <f>COUNTIF(H3:H13,"🟢 Resolved")</f>
        <v>0</v>
      </c>
    </row>
    <row r="20" spans="1:2" ht="15.75" customHeight="1" x14ac:dyDescent="0.25">
      <c r="A20" s="27" t="s">
        <v>154</v>
      </c>
      <c r="B20" s="23">
        <f>COUNTIF(H3:H13,"✅ Closed")</f>
        <v>0</v>
      </c>
    </row>
  </sheetData>
  <autoFilter ref="A2:J2"/>
  <mergeCells count="2">
    <mergeCell ref="A1:J1"/>
    <mergeCell ref="A15:C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3C98"/>
  </sheetPr>
  <dimension ref="A1:G10"/>
  <sheetViews>
    <sheetView showGridLines="0" zoomScaleNormal="100" workbookViewId="0">
      <selection activeCell="D21" sqref="D21"/>
    </sheetView>
  </sheetViews>
  <sheetFormatPr defaultColWidth="8.7109375" defaultRowHeight="15" x14ac:dyDescent="0.25"/>
  <cols>
    <col min="1" max="1" width="12" customWidth="1"/>
    <col min="2" max="2" width="34.5703125" customWidth="1"/>
    <col min="3" max="3" width="24.5703125" customWidth="1"/>
    <col min="4" max="4" width="22.28515625" customWidth="1"/>
    <col min="5" max="5" width="20" customWidth="1"/>
    <col min="6" max="6" width="53.5703125" customWidth="1"/>
    <col min="7" max="7" width="15.5703125" customWidth="1"/>
  </cols>
  <sheetData>
    <row r="1" spans="1:7" ht="27.75" customHeight="1" x14ac:dyDescent="0.25">
      <c r="A1" s="2" t="s">
        <v>155</v>
      </c>
      <c r="B1" s="2"/>
      <c r="C1" s="2"/>
      <c r="D1" s="2"/>
      <c r="E1" s="2"/>
      <c r="F1" s="2"/>
      <c r="G1" s="2"/>
    </row>
    <row r="2" spans="1:7" ht="30" x14ac:dyDescent="0.25">
      <c r="A2" s="28" t="s">
        <v>11</v>
      </c>
      <c r="B2" s="28" t="s">
        <v>156</v>
      </c>
      <c r="C2" s="28" t="s">
        <v>157</v>
      </c>
      <c r="D2" s="28" t="s">
        <v>158</v>
      </c>
      <c r="E2" s="28" t="s">
        <v>159</v>
      </c>
      <c r="F2" s="28" t="s">
        <v>160</v>
      </c>
      <c r="G2" s="28" t="s">
        <v>14</v>
      </c>
    </row>
    <row r="3" spans="1:7" ht="36" customHeight="1" x14ac:dyDescent="0.25">
      <c r="A3" s="19" t="s">
        <v>32</v>
      </c>
      <c r="B3" s="19" t="s">
        <v>161</v>
      </c>
      <c r="C3" s="19" t="s">
        <v>162</v>
      </c>
      <c r="D3" s="19" t="s">
        <v>163</v>
      </c>
      <c r="E3" s="19" t="s">
        <v>164</v>
      </c>
      <c r="F3" s="19" t="s">
        <v>165</v>
      </c>
      <c r="G3" s="29" t="s">
        <v>34</v>
      </c>
    </row>
    <row r="4" spans="1:7" ht="32.25" customHeight="1" x14ac:dyDescent="0.25">
      <c r="A4" s="30" t="s">
        <v>36</v>
      </c>
      <c r="B4" s="30" t="s">
        <v>166</v>
      </c>
      <c r="C4" s="30" t="s">
        <v>162</v>
      </c>
      <c r="D4" s="30" t="s">
        <v>163</v>
      </c>
      <c r="E4" s="30" t="s">
        <v>164</v>
      </c>
      <c r="F4" s="30" t="s">
        <v>167</v>
      </c>
      <c r="G4" s="29" t="s">
        <v>34</v>
      </c>
    </row>
    <row r="5" spans="1:7" ht="35.25" customHeight="1" x14ac:dyDescent="0.25">
      <c r="A5" s="19" t="s">
        <v>36</v>
      </c>
      <c r="B5" s="19" t="s">
        <v>168</v>
      </c>
      <c r="C5" s="19" t="s">
        <v>162</v>
      </c>
      <c r="D5" s="19" t="s">
        <v>163</v>
      </c>
      <c r="E5" s="19" t="s">
        <v>164</v>
      </c>
      <c r="F5" s="19" t="s">
        <v>169</v>
      </c>
      <c r="G5" s="29" t="s">
        <v>34</v>
      </c>
    </row>
    <row r="6" spans="1:7" ht="27.75" customHeight="1" x14ac:dyDescent="0.25">
      <c r="A6" s="30" t="s">
        <v>36</v>
      </c>
      <c r="B6" s="30" t="s">
        <v>161</v>
      </c>
      <c r="C6" s="30" t="s">
        <v>162</v>
      </c>
      <c r="D6" s="30" t="s">
        <v>163</v>
      </c>
      <c r="E6" s="30" t="s">
        <v>164</v>
      </c>
      <c r="F6" s="30" t="s">
        <v>170</v>
      </c>
      <c r="G6" s="29" t="s">
        <v>34</v>
      </c>
    </row>
    <row r="7" spans="1:7" ht="29.25" customHeight="1" x14ac:dyDescent="0.25">
      <c r="A7" s="19" t="s">
        <v>50</v>
      </c>
      <c r="B7" s="19" t="s">
        <v>171</v>
      </c>
      <c r="C7" s="19" t="s">
        <v>163</v>
      </c>
      <c r="D7" s="19" t="s">
        <v>162</v>
      </c>
      <c r="E7" s="19" t="s">
        <v>164</v>
      </c>
      <c r="F7" s="19" t="s">
        <v>172</v>
      </c>
      <c r="G7" s="29" t="s">
        <v>34</v>
      </c>
    </row>
    <row r="8" spans="1:7" ht="29.25" customHeight="1" x14ac:dyDescent="0.25">
      <c r="A8" s="30" t="s">
        <v>50</v>
      </c>
      <c r="B8" s="30" t="s">
        <v>168</v>
      </c>
      <c r="C8" s="30" t="s">
        <v>163</v>
      </c>
      <c r="D8" s="30" t="s">
        <v>162</v>
      </c>
      <c r="E8" s="30" t="s">
        <v>164</v>
      </c>
      <c r="F8" s="30" t="s">
        <v>173</v>
      </c>
      <c r="G8" s="29" t="s">
        <v>34</v>
      </c>
    </row>
    <row r="10" spans="1:7" ht="36" customHeight="1" x14ac:dyDescent="0.25">
      <c r="A10" s="1" t="s">
        <v>174</v>
      </c>
      <c r="B10" s="1"/>
      <c r="C10" s="1"/>
      <c r="D10" s="1"/>
      <c r="E10" s="1"/>
      <c r="F10" s="1"/>
      <c r="G10" s="1"/>
    </row>
  </sheetData>
  <autoFilter ref="A2:G2"/>
  <mergeCells count="2">
    <mergeCell ref="A1:G1"/>
    <mergeCell ref="A10:G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F10"/>
  <sheetViews>
    <sheetView showGridLines="0" zoomScaleNormal="100" workbookViewId="0">
      <selection activeCell="D16" sqref="D16"/>
    </sheetView>
  </sheetViews>
  <sheetFormatPr defaultColWidth="8.7109375" defaultRowHeight="15" x14ac:dyDescent="0.25"/>
  <cols>
    <col min="1" max="1" width="12" customWidth="1"/>
    <col min="2" max="2" width="23.5703125" customWidth="1"/>
    <col min="3" max="3" width="46.5703125" customWidth="1"/>
    <col min="4" max="4" width="55" customWidth="1"/>
    <col min="5" max="5" width="19.42578125" customWidth="1"/>
    <col min="6" max="6" width="22.7109375" customWidth="1"/>
  </cols>
  <sheetData>
    <row r="1" spans="1:6" ht="27.75" customHeight="1" x14ac:dyDescent="0.25">
      <c r="A1" s="32" t="s">
        <v>175</v>
      </c>
      <c r="B1" s="32"/>
      <c r="C1" s="32"/>
      <c r="D1" s="32"/>
      <c r="E1" s="32"/>
      <c r="F1" s="32"/>
    </row>
    <row r="2" spans="1:6" ht="21.75" customHeight="1" x14ac:dyDescent="0.25">
      <c r="A2" s="15" t="s">
        <v>11</v>
      </c>
      <c r="B2" s="15" t="s">
        <v>176</v>
      </c>
      <c r="C2" s="15" t="s">
        <v>177</v>
      </c>
      <c r="D2" s="15" t="s">
        <v>178</v>
      </c>
      <c r="E2" s="15" t="s">
        <v>14</v>
      </c>
      <c r="F2" s="15" t="s">
        <v>19</v>
      </c>
    </row>
    <row r="3" spans="1:6" ht="49.5" customHeight="1" x14ac:dyDescent="0.25">
      <c r="A3" s="19" t="s">
        <v>57</v>
      </c>
      <c r="B3" s="19" t="s">
        <v>179</v>
      </c>
      <c r="C3" s="19" t="s">
        <v>180</v>
      </c>
      <c r="D3" s="19" t="s">
        <v>181</v>
      </c>
      <c r="E3" s="19" t="s">
        <v>44</v>
      </c>
      <c r="F3" s="18" t="s">
        <v>28</v>
      </c>
    </row>
    <row r="4" spans="1:6" ht="49.5" customHeight="1" x14ac:dyDescent="0.25">
      <c r="A4" s="31" t="s">
        <v>57</v>
      </c>
      <c r="B4" s="31" t="s">
        <v>182</v>
      </c>
      <c r="C4" s="31" t="s">
        <v>183</v>
      </c>
      <c r="D4" s="31" t="s">
        <v>184</v>
      </c>
      <c r="E4" s="31" t="s">
        <v>44</v>
      </c>
      <c r="F4" s="18" t="s">
        <v>28</v>
      </c>
    </row>
    <row r="5" spans="1:6" ht="49.5" customHeight="1" x14ac:dyDescent="0.25">
      <c r="A5" s="19" t="s">
        <v>62</v>
      </c>
      <c r="B5" s="19" t="s">
        <v>185</v>
      </c>
      <c r="C5" s="19" t="s">
        <v>186</v>
      </c>
      <c r="D5" s="19" t="s">
        <v>187</v>
      </c>
      <c r="E5" s="19" t="s">
        <v>44</v>
      </c>
      <c r="F5" s="18" t="s">
        <v>28</v>
      </c>
    </row>
    <row r="6" spans="1:6" ht="49.5" customHeight="1" x14ac:dyDescent="0.25">
      <c r="A6" s="31" t="s">
        <v>62</v>
      </c>
      <c r="B6" s="31" t="s">
        <v>188</v>
      </c>
      <c r="C6" s="31" t="s">
        <v>189</v>
      </c>
      <c r="D6" s="31" t="s">
        <v>190</v>
      </c>
      <c r="E6" s="31" t="s">
        <v>44</v>
      </c>
      <c r="F6" s="18" t="s">
        <v>28</v>
      </c>
    </row>
    <row r="7" spans="1:6" ht="49.5" customHeight="1" x14ac:dyDescent="0.25">
      <c r="A7" s="19" t="s">
        <v>62</v>
      </c>
      <c r="B7" s="19" t="s">
        <v>191</v>
      </c>
      <c r="C7" s="19" t="s">
        <v>192</v>
      </c>
      <c r="D7" s="19" t="s">
        <v>193</v>
      </c>
      <c r="E7" s="19" t="s">
        <v>44</v>
      </c>
      <c r="F7" s="18" t="s">
        <v>28</v>
      </c>
    </row>
    <row r="8" spans="1:6" ht="49.5" customHeight="1" x14ac:dyDescent="0.25">
      <c r="A8" s="31" t="s">
        <v>62</v>
      </c>
      <c r="B8" s="31" t="s">
        <v>194</v>
      </c>
      <c r="C8" s="31" t="s">
        <v>195</v>
      </c>
      <c r="D8" s="31" t="s">
        <v>196</v>
      </c>
      <c r="E8" s="31" t="s">
        <v>44</v>
      </c>
      <c r="F8" s="18" t="s">
        <v>28</v>
      </c>
    </row>
    <row r="9" spans="1:6" ht="49.5" customHeight="1" x14ac:dyDescent="0.25">
      <c r="A9" s="19" t="s">
        <v>62</v>
      </c>
      <c r="B9" s="19" t="s">
        <v>197</v>
      </c>
      <c r="C9" s="19" t="s">
        <v>198</v>
      </c>
      <c r="D9" s="19" t="s">
        <v>199</v>
      </c>
      <c r="E9" s="19" t="s">
        <v>44</v>
      </c>
      <c r="F9" s="18" t="s">
        <v>28</v>
      </c>
    </row>
    <row r="10" spans="1:6" ht="49.5" customHeight="1" x14ac:dyDescent="0.25">
      <c r="A10" s="31" t="s">
        <v>62</v>
      </c>
      <c r="B10" s="31" t="s">
        <v>200</v>
      </c>
      <c r="C10" s="31" t="s">
        <v>201</v>
      </c>
      <c r="D10" s="31" t="s">
        <v>202</v>
      </c>
      <c r="E10" s="31" t="s">
        <v>44</v>
      </c>
      <c r="F10" s="18" t="s">
        <v>28</v>
      </c>
    </row>
  </sheetData>
  <autoFilter ref="A2:F2"/>
  <mergeCells count="1">
    <mergeCell ref="A1:F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B23B474D6F3541BC2BE4E2323000F8" ma:contentTypeVersion="9" ma:contentTypeDescription="Create a new document." ma:contentTypeScope="" ma:versionID="ef55ee00915356e758576d968f7d9c02">
  <xsd:schema xmlns:xsd="http://www.w3.org/2001/XMLSchema" xmlns:xs="http://www.w3.org/2001/XMLSchema" xmlns:p="http://schemas.microsoft.com/office/2006/metadata/properties" xmlns:ns3="06aebd03-ee46-4989-8805-f19097587d62" targetNamespace="http://schemas.microsoft.com/office/2006/metadata/properties" ma:root="true" ma:fieldsID="e62184a3e2262fc093d9fbcbdb0124d4" ns3:_="">
    <xsd:import namespace="06aebd03-ee46-4989-8805-f19097587d6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aebd03-ee46-4989-8805-f19097587d6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156988F-A1F0-4E43-A618-B08C14F4E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aebd03-ee46-4989-8805-f19097587d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951632-F209-44C9-81EC-28912267A4F5}">
  <ds:schemaRefs>
    <ds:schemaRef ds:uri="http://schemas.microsoft.com/sharepoint/v3/contenttype/forms"/>
  </ds:schemaRefs>
</ds:datastoreItem>
</file>

<file path=customXml/itemProps3.xml><?xml version="1.0" encoding="utf-8"?>
<ds:datastoreItem xmlns:ds="http://schemas.openxmlformats.org/officeDocument/2006/customXml" ds:itemID="{51F03247-4C0B-4930-96DC-E5D8EF052C8B}">
  <ds:schemaRefs>
    <ds:schemaRef ds:uri="http://purl.org/dc/elements/1.1/"/>
    <ds:schemaRef ds:uri="http://purl.org/dc/dcmitype/"/>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06aebd03-ee46-4989-8805-f19097587d6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 Dashboard</vt:lpstr>
      <vt:lpstr>📋 Bug Details</vt:lpstr>
      <vt:lpstr>✅ Status Tracker</vt:lpstr>
      <vt:lpstr>🌐 Localization Issues</vt:lpstr>
      <vt:lpstr>🎨 UX Improvements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Abida Gul</cp:lastModifiedBy>
  <cp:revision>0</cp:revision>
  <dcterms:created xsi:type="dcterms:W3CDTF">2026-04-06T10:43:28Z</dcterms:created>
  <dcterms:modified xsi:type="dcterms:W3CDTF">2026-04-07T07:22:42Z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0x01010095B23B474D6F3541BC2BE4E2323000F8</vt:lpwstr>
  </property>
</Properties>
</file>