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harjahcharityint-my.sharepoint.com/personal/abida_gul_sharjahcharityint_onmicrosoft_com/Documents/Documents/TFS Testing Report/"/>
    </mc:Choice>
  </mc:AlternateContent>
  <bookViews>
    <workbookView xWindow="0" yWindow="0" windowWidth="28800" windowHeight="11880"/>
  </bookViews>
  <sheets>
    <sheet name="Dashboard" sheetId="1" r:id="rId1"/>
    <sheet name="Bug Tracker" sheetId="2" r:id="rId2"/>
    <sheet name="Summary" sheetId="3" r:id="rId3"/>
    <sheet name="Defect Details" sheetId="4" r:id="rId4"/>
    <sheet name="Lists" sheetId="5" r:id="rId5"/>
  </sheets>
  <calcPr calcId="162913"/>
</workbook>
</file>

<file path=xl/calcChain.xml><?xml version="1.0" encoding="utf-8"?>
<calcChain xmlns="http://schemas.openxmlformats.org/spreadsheetml/2006/main">
  <c r="B20" i="3" l="1"/>
  <c r="B19" i="3"/>
  <c r="B18" i="3"/>
  <c r="B17" i="3"/>
  <c r="B16" i="3"/>
  <c r="B15" i="3"/>
  <c r="B14" i="3"/>
  <c r="B13" i="3"/>
  <c r="B12" i="3"/>
  <c r="H8" i="3"/>
  <c r="B8" i="3"/>
  <c r="H7" i="3"/>
  <c r="H12" i="1" s="1"/>
  <c r="E7" i="3"/>
  <c r="E12" i="1" s="1"/>
  <c r="B7" i="3"/>
  <c r="B12" i="1" s="1"/>
  <c r="H6" i="3"/>
  <c r="H11" i="1" s="1"/>
  <c r="E6" i="3"/>
  <c r="B6" i="3"/>
  <c r="B11" i="1" s="1"/>
  <c r="H5" i="3"/>
  <c r="E5" i="3"/>
  <c r="B5" i="3"/>
  <c r="B10" i="1" s="1"/>
  <c r="H4" i="3"/>
  <c r="H9" i="1" s="1"/>
  <c r="E4" i="3"/>
  <c r="E9" i="1" s="1"/>
  <c r="B4" i="3"/>
  <c r="B9" i="1" s="1"/>
  <c r="H13" i="1"/>
  <c r="B13" i="1"/>
  <c r="E11" i="1"/>
  <c r="H10" i="1"/>
  <c r="E10" i="1"/>
  <c r="K5" i="1"/>
  <c r="I5" i="1"/>
  <c r="G5" i="1"/>
  <c r="E5" i="1"/>
  <c r="C5" i="1"/>
  <c r="A5" i="1"/>
</calcChain>
</file>

<file path=xl/sharedStrings.xml><?xml version="1.0" encoding="utf-8"?>
<sst xmlns="http://schemas.openxmlformats.org/spreadsheetml/2006/main" count="869" uniqueCount="293">
  <si>
    <t>SHARJAH CHARITY INTERNATIONAL - QA BUG TRACKER DASHBOARD</t>
  </si>
  <si>
    <t>Money Box Module – New Design | Testing Period: 06 June 2026 | Source: Uploaded QA Testing Report</t>
  </si>
  <si>
    <t>Total Bugs</t>
  </si>
  <si>
    <t>Open</t>
  </si>
  <si>
    <t>High Severity</t>
  </si>
  <si>
    <t>High Priority</t>
  </si>
  <si>
    <t>Report/PDF Issues</t>
  </si>
  <si>
    <t>Missing Field/Column</t>
  </si>
  <si>
    <t>Severity Mix</t>
  </si>
  <si>
    <t>Priority Mix</t>
  </si>
  <si>
    <t>Status Mix</t>
  </si>
  <si>
    <t>Severity</t>
  </si>
  <si>
    <t>Count</t>
  </si>
  <si>
    <t>Priority</t>
  </si>
  <si>
    <t>Status</t>
  </si>
  <si>
    <t>High</t>
  </si>
  <si>
    <t>Medium / High</t>
  </si>
  <si>
    <t>Medium</t>
  </si>
  <si>
    <t>In Progress</t>
  </si>
  <si>
    <t>Low</t>
  </si>
  <si>
    <t>Blocked</t>
  </si>
  <si>
    <t>Low / Medium</t>
  </si>
  <si>
    <t>Critical</t>
  </si>
  <si>
    <t>Ready for Retest</t>
  </si>
  <si>
    <t>Closed</t>
  </si>
  <si>
    <t>Executive QA Notes</t>
  </si>
  <si>
    <t>1</t>
  </si>
  <si>
    <t>Most issues are open and require development analysis/retest.</t>
  </si>
  <si>
    <t>2</t>
  </si>
  <si>
    <t>Critical focus areas: save/add failures, missing columns/fields, report PDF processing errors, and old-vs-new design data mismatch.</t>
  </si>
  <si>
    <t>3</t>
  </si>
  <si>
    <t>Recommended QA action: fix High priority bugs first, retest affected screens, then complete regression on Money Box workflows.</t>
  </si>
  <si>
    <t>Bug ID</t>
  </si>
  <si>
    <t>Bug Title</t>
  </si>
  <si>
    <t>Module</t>
  </si>
  <si>
    <t>Sub Module</t>
  </si>
  <si>
    <t>Screen/Page</t>
  </si>
  <si>
    <t>URL</t>
  </si>
  <si>
    <t>Defect Type</t>
  </si>
  <si>
    <t>Category</t>
  </si>
  <si>
    <t>Assigned To</t>
  </si>
  <si>
    <t>Reported By</t>
  </si>
  <si>
    <t>Reported Date</t>
  </si>
  <si>
    <t>Target Fix Date</t>
  </si>
  <si>
    <t>Environment</t>
  </si>
  <si>
    <t>Actual Result</t>
  </si>
  <si>
    <t>Expected Result</t>
  </si>
  <si>
    <t>Steps to Reproduce</t>
  </si>
  <si>
    <t>Description</t>
  </si>
  <si>
    <t>Evidence/Page Ref</t>
  </si>
  <si>
    <t>Remarks</t>
  </si>
  <si>
    <t>MB-ND-001</t>
  </si>
  <si>
    <t>Old request/record becomes hidden after editing and saving in Money Boxes screen</t>
  </si>
  <si>
    <t>Money Box / الحصالات</t>
  </si>
  <si>
    <t>Money Boxes / الحصالات</t>
  </si>
  <si>
    <t>https://10.10.10.154:200/moneybox/moneyBoxes</t>
  </si>
  <si>
    <t>Functional</t>
  </si>
  <si>
    <t>Data Display/Refresh</t>
  </si>
  <si>
    <t>Development Team</t>
  </si>
  <si>
    <t>Abida Gul</t>
  </si>
  <si>
    <t>ERP Application - New Design</t>
  </si>
  <si>
    <t>After editing and saving the old request, the record becomes hidden or does not appear properly in the table. | User cannot clearly confirm whether the update was saved successfully. | Table/list view does not refresh or display the updated record correctly.</t>
  </si>
  <si>
    <t>After editing and saving, the updated record should remain visible in the table. | The table should refresh properly and show the latest updated data. | User should receive a success message after saving. | No record should disappear or become hidden after update.</t>
  </si>
  <si>
    <t>Open the Money Boxes screen using this URL: | https://10.10.10.154:200/moneybox/moneyBoxes | Search or select an existing/old request from the table. | Click on the تعديل button for any existing record. | Update any required field. | Click the save/update button. | Return to the table/list view. | Observe that the edited record is hidden or not displayed correctly in the table.</t>
  </si>
  <si>
    <t>When the user edits an existing/old request from the table and then clicks save, the updated request/record becomes hidden or does not display properly in the table. The record should remain visible after saving, but instead it appears to disappear or hide from the list.</t>
  </si>
  <si>
    <t>Document bug #1</t>
  </si>
  <si>
    <t>Pending developer analysis</t>
  </si>
  <si>
    <t>MB-ND-002</t>
  </si>
  <si>
    <t>Error occurs when adding new Money Box and clicking Save</t>
  </si>
  <si>
    <t>Add/Save Error</t>
  </si>
  <si>
    <t>The system displays an error message after clicking حفظ. | New Money Box is not saved. | User cannot complete the add process successfully. | Error message appears | "حدث خطأ. يرجى التواصل مع الدعم الفني إذا استمر هذا الخطأ"</t>
  </si>
  <si>
    <t>New Money Box should be saved successfully. | System should show a success message after saving. | The newly added Money Box should appear in the Money Boxes table/list. | No error message should appear.</t>
  </si>
  <si>
    <t>Open the Money Boxes screen using the URL: | https://10.10.10.154:200/moneybox/moneyBoxes | Click on the إضافة / Add button. | The إضافة حصالة جديدة form will open. | Fill in the required fields, such as: | نوع / Type | كود رئيسي / Main Code | كود / Code | الرقم / Number | تصنيف الحصالة / Money Box Classification | Click on the حفظ button. | Observe the error message displayed on the screen.</t>
  </si>
  <si>
    <t>When the user tries to add a new Money Box from the Money Boxes / الحصالات screen and clicks the حفظ button, the system shows an error message and the new Money Box is not saved. | The error message displayed is: | "حدث خطأ. يرجى التواصل مع الدعم الفني إذا استمر هذا الخطأ" | Translation: "An error occurred. Please contact technical support if this error continues."</t>
  </si>
  <si>
    <t>Document bug #2</t>
  </si>
  <si>
    <t>MB-ND-003</t>
  </si>
  <si>
    <t>Error occurs when adding new Section Grouping and clicking Save</t>
  </si>
  <si>
    <t>Section Grouping / مجموعة الحصالات</t>
  </si>
  <si>
    <t>Money Boxes → Sections Grouping / مجموعة الحصالات</t>
  </si>
  <si>
    <t>https://10.10.10.154:200/moneybox/sections/sectionsGrouping/a64e09d7-5f17-eb11-81d7-000c29d5b0c7</t>
  </si>
  <si>
    <t>The system displays an error message after clicking حفظ. | New Section Grouping is not saved. | User cannot complete the add process successfully. | Error message appears: | "حدث خطأ. يرجى التواصل مع الدعم الفني إذا استمر هذا الخطأ"</t>
  </si>
  <si>
    <t>New Section Grouping should be saved successfully. | System should show a success message after saving. | The newly added Section Grouping should appear in the list/table. | No error message should appear.</t>
  </si>
  <si>
    <t>Open the Section Grouping screen using the URL: | https://10.10.10.154:200/moneybox/sections/sectionsGrouping/a64e09d7-5f17-eb11-81d7-000c29d5b0c7 | Click on the إضافة / Add button. | The إضافة مجموعة form will open. | Fill in the required fields, such as: | التصنيف / Classification | رقم المجموعة / Group Number | Click on the حفظ button. | Observe the error message displayed on the screen.</t>
  </si>
  <si>
    <t>When the user tries to add a new Section Grouping from the Money Boxes section and clicks the حفظ button, the system shows an error message and the new section grouping is not saved. | The error message displayed is: | "حدث خطأ. يرجى التواصل مع الدعم الفني إذا استمر هذا الخطأ" | Translation: "An error occurred. Please contact technical support if this error continues."</t>
  </si>
  <si>
    <t>Document bug #3</t>
  </si>
  <si>
    <t>MB-ND-004</t>
  </si>
  <si>
    <t>Add button is missing in Assign Money Box subsection screen</t>
  </si>
  <si>
    <t>Assign Money Box / تعيين حصالة</t>
  </si>
  <si>
    <t>Money Boxes → Sections → Assign Money Box / تعيين حصالة</t>
  </si>
  <si>
    <t>https://10.10.10.154:200/moneybox/sections/assignMoneybox/3ff57db3-3d62-f111-8272-000c29b5ee4d</t>
  </si>
  <si>
    <t>Add / إضافة button is missing from the subsection screen. | User cannot add or assign a new Money Box. | User is unable to perform the required assignment action from this page.</t>
  </si>
  <si>
    <t>Add / إضافة button should be available on the Assign Money Box subsection screen. | User should be able to click the Add button and assign a new Money Box. | The newly assigned Money Box should appear in the table/list after saving.</t>
  </si>
  <si>
    <t>Open the Assign Money Box screen using the URL: | https://10.10.10.154:200/moneybox/sections/assignMoneybox/3ff57db3-3d62-f111-8272-000c29b5ee4d | Check the top section of the page. | Check the Money Boxes table/list area. | Check the Assign Money Box section. | Observe that there is no Add / إضافة button available.</t>
  </si>
  <si>
    <t>On the Assign Money Box subsection screen, the Add / إضافة button is missing. Because of this, the user cannot add or assign a new Money Box from this screen. | The screen shows the Money Box list and Assign Money Box section, but there is no button available to add a new record.</t>
  </si>
  <si>
    <t>Document bug #4</t>
  </si>
  <si>
    <t>MB-ND-005</t>
  </si>
  <si>
    <t>Group title/alignment is not displayed properly on Assign Money Box screen</t>
  </si>
  <si>
    <t>UI/UX</t>
  </si>
  <si>
    <t>Group title is not aligned properly. | Arabic and English text appear mixed incorrectly. | The displayed title looks like: | رقم المجموعة : 3510 ----------- Test project | Text direction/spacing is not properly handled.</t>
  </si>
  <si>
    <t>Group title should be displayed clearly and properly aligned. | Arabic and English text should follow correct RTL/LTR formatting. | The title should appear in a clean and readable format, for example: | رقم المجموعة: 3510 - Test project | No broken spacing or unnecessary dashes should appear.</t>
  </si>
  <si>
    <t>Open the Assign Money Box screen using this URL: | https://10.10.10.154:200/moneybox/sections/assignMoneybox/3ff57db3-3d62-f111-8272-000c29b5ee4d | Check the group title displayed at the top-right side of the page. | Observe the text formatting and alignment.</t>
  </si>
  <si>
    <t>On the Assign Money Box / تعيين حصالة screen, the group title is not displayed properly. The text: | رقم المجموعة : 3510 ----------- Test project | appears with incorrect alignment/formatting. The Arabic and English text are mixed in the same line and the direction/alignment looks broken. This affects readability and makes the page look inconsistent.</t>
  </si>
  <si>
    <t>Document bug #5</t>
  </si>
  <si>
    <t>MB-ND-006</t>
  </si>
  <si>
    <t>Deleted record shows success message but data is not removed from Sub Money Box Type list</t>
  </si>
  <si>
    <t>Sub Money Box Type / نوع الحصالات الفرعي</t>
  </si>
  <si>
    <t>Money Boxes → Sub Money Box Type / نوع الحصالات الفرعي</t>
  </si>
  <si>
    <t>https://10.10.10.154:200/moneybox/moneyboxSubTypes</t>
  </si>
  <si>
    <t>Delete</t>
  </si>
  <si>
    <t>System shows success message: | "تم الحذف بنجاح" | The selected record is still visible in the list. | Data is not removed from the table after delete. | User cannot confirm whether the record was actually deleted from the database or only the UI failed to refresh.</t>
  </si>
  <si>
    <t>After clicking Delete, the selected record should be removed successfully. | The deleted record should disappear from the table/list. | Table should refresh automatically after successful deletion. | Success message should appear only when the record is actually deleted.</t>
  </si>
  <si>
    <t>Open the Sub Money Box Type screen using the URL: | https://10.10.10.154:200/moneybox/moneyboxSubTypes | Select any existing record from the list. | Click on the حذف / Delete button. | Confirm the delete action, if confirmation popup appears. | Observe the success message. | Check the table/list after deletion.</t>
  </si>
  <si>
    <t>When the user deletes a record from the Sub Money Box Type / نوع الحصالات الفرعي screen, the system displays a success message saying that the record has been deleted successfully. However, the deleted record still remains visible in the table/list and is not removed from the screen. | The success message displayed is: | "تم الحذف بنجاح" | Translation: "Deleted successfully"</t>
  </si>
  <si>
    <t>Document bug #6</t>
  </si>
  <si>
    <t>MB-ND-007</t>
  </si>
  <si>
    <t>New Sub Money Box Type shows success message but data is not added in the list</t>
  </si>
  <si>
    <t>System shows a success message after saving. | Newly added data does not appear in the list/table. | User cannot confirm whether the data was saved successfully. | The table does not refresh or display the newly added record.</t>
  </si>
  <si>
    <t>After clicking Save, the new record should be saved successfully. | The newly added Sub Money Box Type should appear in the list/table immediately. | Table should refresh automatically after saving. | Success message should appear only when the record is actually saved and visible in the list.</t>
  </si>
  <si>
    <t>Open the Sub Money Box Type screen using the URL: | https://10.10.10.154:200/moneybox/moneyboxSubTypes | Click on the إضافة / Add button. | Enter the required details for the new Sub Money Box Type. | Click on the حفظ / Save button. | Observe the success message. | Check the list/table after saving.</t>
  </si>
  <si>
    <t>When the user adds a new record in the Sub Money Box Type / نوع الحصالات الفرعي screen and clicks Save, the system displays a success message. However, the newly added data does not appear in the list/table after saving. | The success message appears, but the record is not visible, so the user cannot confirm whether the data was actually saved in the database or if the table failed to refresh.</t>
  </si>
  <si>
    <t>Document bug #7</t>
  </si>
  <si>
    <t>MB-ND-008</t>
  </si>
  <si>
    <t>Error occurs when changing Active/Inactive status in Field Committee List screen</t>
  </si>
  <si>
    <t>Field Committee List / قائمة اللجنة الميدانية</t>
  </si>
  <si>
    <t>Money Boxes → Field Committee List / قائمة اللجنة الميدانية</t>
  </si>
  <si>
    <t>https://10.10.10.154:200/moneybox/outFieldCommitteeList</t>
  </si>
  <si>
    <t>Status/Toggle</t>
  </si>
  <si>
    <t>System displays an error message after clicking the status toggle. | Active/Inactive status is not updated. | User cannot enable or disable the selected record. | Error message appears: | "حدث خطأ. يرجى التواصل مع الدعم الفني إذا استمر هذا الخطأ"</t>
  </si>
  <si>
    <t>User should be able to change the status successfully. | Toggle should update from Active to Inactive or Inactive to Active without error. | System should show a success message after status update. | Updated status should remain saved after refreshing the page.</t>
  </si>
  <si>
    <t>Open the Field Committee List screen using the URL: | https://10.10.10.154:200/moneybox/outFieldCommitteeList | Go to the records list/table. | Select any record. | Click on the Active/Inactive toggle under the فعال / Active column. | Observe the error message displayed on the screen.</t>
  </si>
  <si>
    <t>When the user tries to change the status using the Active/Inactive toggle in the Field Committee List / قائمة اللجنة الميدانية screen, the system displays an error message and the status is not updated successfully. | The error message displayed is: | "حدث خطأ. يرجى التواصل مع الدعم الفني إذا استمر هذا الخطأ" | Translation: "An error occurred. Please contact technical support if this error continues."</t>
  </si>
  <si>
    <t>Document bug #8</t>
  </si>
  <si>
    <t>MB-ND-009</t>
  </si>
  <si>
    <t>New Field Committee record shows success message but data is not displayed in the table</t>
  </si>
  <si>
    <t>System shows success message: | "نجاح - تم الحفظ بنجاح" | Newly added record does not appear in the table/list. | User cannot confirm whether the data was saved successfully. | Table does not refresh or display the newly added data.</t>
  </si>
  <si>
    <t>After clicking Save, the new Field Committee record should be saved successfully. | The newly added record should appear in the table/list immediately. | Table should refresh automatically after saving. | Success message should appear only when the saved data is visible or correctly added.</t>
  </si>
  <si>
    <t>Open the Field Committee List screen using the URL: | https://10.10.10.154:200/moneybox/outFieldCommitteeList | Click on the إضافة / Add button. | Enter the required details for the new Field Committee record. | Click on the حفظ / Save button. | Observe the success message displayed on the screen. | Check the table/list after saving.</t>
  </si>
  <si>
    <t>When the user adds a new record in the Field Committee List / قائمة اللجنة الميدانية screen and clicks Save, the system displays a success message. However, the newly added data does not appear in the table/list after saving. | The success message appears, but the record is not visible in the list, so the user cannot confirm whether the data was actually saved in the database or if the table failed to refresh. | Success message displayed: | "نجاح - تم الحفظ بنجاح" | Translation: "Success - Saved successfully"</t>
  </si>
  <si>
    <t>Document bug #9</t>
  </si>
  <si>
    <t>MB-ND-010</t>
  </si>
  <si>
    <t>Employee Name and Committee Name fields are missing in new Committee Members screen</t>
  </si>
  <si>
    <t>Field Committee Members / أعضاء لجنة الحصالات</t>
  </si>
  <si>
    <t>Money Boxes → Field Committee Members / أعضاء لجنة الحصالات</t>
  </si>
  <si>
    <t>https://10.10.10.154:200/moneybox/outFieldCommitteeMembers</t>
  </si>
  <si>
    <t>Employee Name field is not available in the new screen. | Committee Name field is not available in the new screen. | User cannot select/search employee name properly. | User cannot select/search committee name properly. | New screen does not match the old screen functionality.</t>
  </si>
  <si>
    <t>New screen should include the same required fields as the old screen. | Employee Name / اسم الموظف field should be available. | Committee Name / اللجنة المؤقتة field should be available. | User should be able to search/filter or add committee members using these fields. | Functionality should remain the same as the old screen.</t>
  </si>
  <si>
    <t>Open the Field Committee Members screen using the URL: | https://10.10.10.154:200/moneybox/outFieldCommitteeMembers | Check the search/add section at the top of the page. | Compare it with the old screen/design. | Observe that the following fields are missing in the new screen: | Employee Name / اسم الموظف | Committee Name / اللجنة المؤقتة</t>
  </si>
  <si>
    <t>In the old screen/design, the user had fields for selecting or entering: | اسم الموظف / Employee Name | اللجنة المؤقتة / Committee Name | But in the new screen, these fields are not available. Because of this, the user cannot search, filter, or add committee members properly using employee name and committee name. | The required fields are missing from the new UI compared to the old screen.</t>
  </si>
  <si>
    <t>Document bug #10</t>
  </si>
  <si>
    <t>MB-ND-011</t>
  </si>
  <si>
    <t>PDF report shows processing error when opening Money Box Key Report receipt</t>
  </si>
  <si>
    <t>Field Committee / Add Committee / Receipt Report</t>
  </si>
  <si>
    <t>Money Boxes → Field Committee / Add Committee → Receipt / الإيصال</t>
  </si>
  <si>
    <t>https://10.10.10.154:200/moneybox/fieldCommittee/addCommittee/86fc4df7-9249-eb11-8336-00056d818d71</t>
  </si>
  <si>
    <t>Report</t>
  </si>
  <si>
    <t>Report/PDF</t>
  </si>
  <si>
    <t>PDF viewer opens successfully. | Report content is not generated correctly. | PDF shows a report processing error instead of receipt/report details. | User cannot print or verify the Money Box Key Report. | Error visible in the PDF: | “An error has occurred while processing Table ‘table1’.”</t>
  </si>
  <si>
    <t>MoneyBoxKeyReport should generate successfully. | PDF should display the correct receipt/report details. | User should be able to view, download, and print the report without any error. | No report processing or dataset error should appear.</t>
  </si>
  <si>
    <t>Open the Field Committee/Add Committee screen using the URL: | https://10.10.10.154:200/moneybox/fieldCommittee/addCommittee/86fc4df7-9249-eb11-8336-00056d818d71 | Click on the report/receipt option. | PDF viewer opens with report name: | MoneyBoxKeyReport | Observe the generated PDF content.</t>
  </si>
  <si>
    <t>When the user opens or generates the MoneyBoxKeyReport PDF report from the Field Committee/Add Committee screen, the PDF viewer opens but the report is not generated correctly. Instead of showing the proper receipt/report data, the PDF displays a report processing error. | The error shown inside the PDF is related to processing the report table and dataset execution.</t>
  </si>
  <si>
    <t>Document bug #11</t>
  </si>
  <si>
    <t>MB-ND-012</t>
  </si>
  <si>
    <t>Committee Report PDF displays processing error instead of complete report data</t>
  </si>
  <si>
    <t>Field Committee Report / لجنة تحصيل رسوم فتح الحصالات</t>
  </si>
  <si>
    <t>Money Boxes → Field Committee Report / لجنة تحصيل رسوم فتح الحصالات</t>
  </si>
  <si>
    <t>https://10.10.10.154:200/91b1957d-b0b2-49a6-a356-6192984f4bed</t>
  </si>
  <si>
    <t>PDF viewer opens successfully. | Report layout appears partially. | A red error message appears inside the PDF. | Report data is not loaded completely. | User cannot use the report for printing or official processing. | Error shown: | “An error has occurred while processing Table ‘table1’.”</t>
  </si>
  <si>
    <t>Committee report PDF should generate successfully. | All report data should display correctly. | No processing/table error should appear inside the PDF. | User should be able to view, download, and print the report properly.</t>
  </si>
  <si>
    <t>Open the Money Box module. | Navigate to the Field Committee / Committee Report section. | Generate or open the committee report PDF. | PDF viewer opens in the browser. | Observe the report content on page 1.</t>
  </si>
  <si>
    <t>When the user opens/generates the committee PDF report, the PDF viewer opens and the report layout is partially displayed. However, the report shows a processing error inside the PDF content instead of generating the complete report data. | The report displays the Sharjah Charity International logo and some form fields, but the main report data is not generated correctly due to a report processing/table error. | The error visible in the PDF is: | “An error has occurred while processing Table ‘table1’.”</t>
  </si>
  <si>
    <t>Document bug #12</t>
  </si>
  <si>
    <t>MB-ND-013</t>
  </si>
  <si>
    <t>Service Name dropdown shows empty list in External Collections screen</t>
  </si>
  <si>
    <t>External Collections / التحصيلات الخارجية</t>
  </si>
  <si>
    <t>Money Boxes → External Collections / التحصيلات الخارجية</t>
  </si>
  <si>
    <t>https://10.10.10.154:200/moneybox/outSideCollections/outSideCollection/b1533dec-5a62-f111-8272-000c29b5ee4d</t>
  </si>
  <si>
    <t>Localization</t>
  </si>
  <si>
    <t>Dropdown/Localization</t>
  </si>
  <si>
    <t>Service Name dropdown opens. | Dropdown list is empty. | No service names are displayed for selection. | User cannot select the required service.</t>
  </si>
  <si>
    <t>Service Name dropdown should display the available service names. | User should be able to select a service from the list. | Dropdown data should load properly without empty records. | Search/filter should work according to the selected service.</t>
  </si>
  <si>
    <t>Open the External Collections screen using the URL: | https://10.10.10.154:200/moneybox/outSideCollections/outSideCollection/b1533dec-5a62-f111-8272-000c29b5ee4d | Go to the top-right section of the page. | Click on the اسم الخدمة / Service Name dropdown. | Observe the dropdown list.</t>
  </si>
  <si>
    <t>When the user opens the External Collections / التحصيلات الخارجية screen and clicks on the اسم الخدمة / Service Name dropdown, the dropdown list opens but no service records are displayed. The list appears empty, so the user cannot select any service name. | Because of this issue, the user may not be able to filter/search the external collection records properly or complete the required process where service selection is needed.</t>
  </si>
  <si>
    <t>Document bug #13</t>
  </si>
  <si>
    <t>MB-ND-014</t>
  </si>
  <si>
    <t>List/Data Not Displayed in New Design While Same Data Appears Correctly in Old Design – Money Boxes Screen (Money box Test 1011)</t>
  </si>
  <si>
    <t>Records are displayed correctly in the old design. | The same records are missing or not visible in the new design. | Users cannot access or view the expected data from the new screen. | Data consistency between old and new designs is not maintained.</t>
  </si>
  <si>
    <t>The new design should display the same records as the old design. | Data count and list results should be consistent across both versions. | Users should be able to view all available records without any missing data. | Search and filtering functionality should return identical results in both designs.</t>
  </si>
  <si>
    <t>Open the Money Boxes screen in the Old Design. | Verify that records/data are displayed correctly in the list. | Open the same screen in the New Design. | Use the same search criteria or default view. | Compare the results between both screens. | Observe that records visible in the old design are not displayed in the new design.</t>
  </si>
  <si>
    <t>In the Money Boxes screen, the records/list are displayed correctly in the old design, but the same records are not displayed in the new design. Although data exists in the system and is visible in the old screen, the new screen fails to load or show the list properly. This creates inconsistency between the old and new versions and prevents users from viewing available records.</t>
  </si>
  <si>
    <t>Document bug #14</t>
  </si>
  <si>
    <t>MB-ND-015</t>
  </si>
  <si>
    <t>Missing Columns in New Design Compared to Old Design – Money Boxes List Screen</t>
  </si>
  <si>
    <t>Two columns visible in the old design are not displayed in the new design. | Users cannot access complete information from the records list. | The table structure differs between old and new versions. | Data visibility is reduced in the new design.</t>
  </si>
  <si>
    <t>All columns available in the old design should also be displayed in the new design. | The table structure should remain consistent across both versions. | Users should have access to the same information regardless of the design version. | No column should be removed unless approved as part of a documented business requirement.</t>
  </si>
  <si>
    <t>Open the Money Boxes screen in the Old Design. | Navigate to the records list/grid section. | Note all available columns displayed in the table. | Open the same Money Boxes screen in the New Design. | Navigate to the records list/grid section. | Compare the table columns between the old and new screens. | Observe that two columns available in the old design are missing in the new design.</t>
  </si>
  <si>
    <t>The list/grid displayed in the New Design is missing two columns that are available and visible in the Old Design. As a result, users cannot view complete record information in the new screen. The table structure is inconsistent between both versions, causing functionality and reporting discrepancies.</t>
  </si>
  <si>
    <t>Document bug #15</t>
  </si>
  <si>
    <t>MB-ND-016</t>
  </si>
  <si>
    <t>Report Columns Mismatch in New Design Compared to Old Design – Collection/Lost Report</t>
  </si>
  <si>
    <t>Reports / Collection Report / Lost Report</t>
  </si>
  <si>
    <t>Collection / Lost Report</t>
  </si>
  <si>
    <t>https://10.10.10.154:200/moneybox/reports</t>
  </si>
  <si>
    <t>The New Design report displays only a limited number of columns. | Several fields available in the Old Design report are missing. | Report structure is inconsistent between old and new versions. | Users receive incomplete reporting information.</t>
  </si>
  <si>
    <t>The New Design report should contain all columns available in the Old Design report. | Column names and sequence should remain consistent unless officially approved. | Users should receive the same report output in both versions. | No business-critical field should be removed from the report.</t>
  </si>
  <si>
    <t>Open the Collection/Lost Report screen in the Old Design. | Generate the report using any valid search criteria. | Note the number and names of columns displayed in the report. | Open the same report in the New Design. | Generate the report using the same criteria. | Compare both reports. | Observe that multiple columns available in the old report are missing or renamed in the new report.</t>
  </si>
  <si>
    <t>The report generated in the New Design contains fewer columns than the report generated in the Old Design. Several important columns that were available in the old report are either missing or renamed in the new version. This results in incomplete reporting data and prevents users from accessing the full information required for operational and audit purposes.</t>
  </si>
  <si>
    <t>Document bug #16</t>
  </si>
  <si>
    <t>MB-ND-017</t>
  </si>
  <si>
    <t>Status Change Popup Size/Alignment Issue – Damage Money Boxes Screen</t>
  </si>
  <si>
    <t>Damage Money Boxes / الحصالات التالفة</t>
  </si>
  <si>
    <t>https://10.10.10.154:200/moneybox/damageMoneyBoxes</t>
  </si>
  <si>
    <t>The popup contains a large empty content area. | Modal size is not adjusted according to the available fields. | Excessive white space is displayed below the status controls. | Popup layout appears misaligned and unoptimized.</t>
  </si>
  <si>
    <t>The popup should automatically resize according to its content. | Empty space should be removed. | Fields and controls should be properly aligned within the modal. | The dialog should have a clean and professional appearance consistent with the application design standards.</t>
  </si>
  <si>
    <t>Open the Damage Money Boxes screen using the URL: | https://10.10.10.154:200/moneybox/damageMoneyBoxes | Select any record from the list. | Click the Change Status (تغيير الحالة) button/action. | Observe the popup/modal that appears. | Review the content area inside the popup.</t>
  </si>
  <si>
    <t>When the user clicks the Change Status (تغيير الحالة) action, a popup/modal window is displayed. However, the popup content area is not properly sized and contains excessive empty space. The modal layout appears broken or improperly aligned, resulting in a poor user experience and inefficient use of screen space.</t>
  </si>
  <si>
    <t>Document bug #17</t>
  </si>
  <si>
    <t>MB-ND-018</t>
  </si>
  <si>
    <t>Dropdown Values Displayed in English Instead of Arabic – Damage Money Boxes Screen</t>
  </si>
  <si>
    <t>Dropdown contains English values such as: | Repair | garbage | Language is inconsistent with the Arabic user interface. | Users may experience confusion due to mixed-language content.</t>
  </si>
  <si>
    <t>All dropdown values should be displayed in Arabic. | Suggested translations: | Repair → إصلاح | Garbage → إتلاف or نفايات (according to business requirements) | The entire screen should maintain a consistent Arabic language interface.</t>
  </si>
  <si>
    <t>Open the Damage Money Boxes screen using the URL: | https://10.10.10.154:200/moneybox/damageMoneyBoxes | Navigate to the search/filter section. | Click on the Status (الحالة) dropdown. | Review the available dropdown values. | Observe that some values are displayed in English.</t>
  </si>
  <si>
    <t>In the Damage Money Boxes screen, the status dropdown contains values displayed in English (e.g., "Repair" and "garbage"), while the application interface is configured in Arabic. Dropdown values should be translated and displayed in Arabic to maintain language consistency throughout the system.</t>
  </si>
  <si>
    <t>Document bug #18</t>
  </si>
  <si>
    <t>MB-ND-019</t>
  </si>
  <si>
    <t>Section Data and Selection Checkbox Missing in New Design – Bag Requests Processing Screen</t>
  </si>
  <si>
    <t>Bag Requests Processing / معالجة طلبات أكياس الأموال</t>
  </si>
  <si>
    <t>Process Bag Requests / معالجة طلبات أكياس الأموال</t>
  </si>
  <si>
    <t>https://10.10.10.154:200/moneybox/processBagRequests</t>
  </si>
  <si>
    <t>The Section (القطاع) column is displayed but its data is missing/blank. | Record selection checkboxes are not available in the grid. | Users cannot identify the related section for each record. | Users cannot select records for processing actions.</t>
  </si>
  <si>
    <t>The Section (القطاع) column should display the correct section data for each record. | Selection checkboxes should be available for all records as in the old design. | Users should be able to select one or multiple records for processing. | Grid functionality and data visibility should match the old design.</t>
  </si>
  <si>
    <t>Open the Process Bag Requests screen using the URL: | https://10.10.10.154:200/moneybox/processBagRequests | Search for any available records. | Review the records displayed in the grid. | Compare the screen with the old design. | Observe the Section (القطاع) column and record selection functionality.</t>
  </si>
  <si>
    <t>In the new design of the Process Bag Requests screen, the Section (القطاع) column data is not displayed in the records grid. Additionally, the selection checkbox column that exists in the old design is missing. Due to this issue, users cannot view section information and are unable to select records for further processing.</t>
  </si>
  <si>
    <t>Document bug #19</t>
  </si>
  <si>
    <t>MB-ND-020</t>
  </si>
  <si>
    <t>Success Message Displayed Without Record Selection – Bag Requests Processing Screen</t>
  </si>
  <si>
    <t>Validation</t>
  </si>
  <si>
    <t>The system displays a success message: | "تم الحفظ بنجاح" (Saved Successfully). | No record is selected for approval. | No validation message is shown. | User is misled into believing an approval action was completed.</t>
  </si>
  <si>
    <t>The system should validate record selection before processing. | If no record is selected, a warning/error message should appear such as: | "يرجى اختيار سجل واحد على الأقل." | (Please select at least one record.) | The approval process should not proceed until a valid selection is made. | Success messages should only be displayed after successful processing of selected records.</t>
  </si>
  <si>
    <t>Open the Process Bag Requests screen using the URL: | https://10.10.10.154:200/moneybox/processBagRequests | Search for available records. | Do not select any record from the list. | Click the Approve (موافقة) button. | Observe the system response.</t>
  </si>
  <si>
    <t>On the Process Bag Requests screen, when the user clicks the Approve (موافقة) button without selecting any record from the grid, the system incorrectly displays a success message ("تم الحفظ بنجاح"). The system should validate that at least one record is selected before processing the approval request.</t>
  </si>
  <si>
    <t>Document bug #20</t>
  </si>
  <si>
    <t>MB-ND-021</t>
  </si>
  <si>
    <t>Department Column Missing in Employee Committee Report – New Design</t>
  </si>
  <si>
    <t>Reports / Committee Employees Report / تقرير موظفين اللجنة</t>
  </si>
  <si>
    <t>Committee Employees Report / تقرير موظفين اللجنة</t>
  </si>
  <si>
    <t>https://10.10.10.154:200/moneybox/committeeEmployeesReport</t>
  </si>
  <si>
    <t>The report is generated successfully. | Employee information is displayed. | The Department (القسم) column is not available in the report. | Users cannot identify the department associated with each employee record.</t>
  </si>
  <si>
    <t>The report should include the Department (القسم) column as available in the old design. | All report columns should match the old report structure. | Users should be able to view complete employee details, including department information.</t>
  </si>
  <si>
    <t>Open the Employee Committee Report screen using the URL: | https://10.10.10.154:200/moneybox/committeeEmployeesReport | Enter a valid date range. | Click Search (بحث) to generate the report. | Review the report columns displayed in the grid. | Compare the report with the old design version. | Observe that the Department (القسم) column is missing.</t>
  </si>
  <si>
    <t>In the Employee Committee Report screen, the new design appears to be missing the Department (القسم) column that was available in the old report. This results in incomplete employee information being displayed and creates inconsistency between the old and new report layouts.</t>
  </si>
  <si>
    <t>Document bug #21</t>
  </si>
  <si>
    <t>MB-ND-022</t>
  </si>
  <si>
    <t>Record Selection Checkbox Missing in Transfer Bags Screen – New Design</t>
  </si>
  <si>
    <t>Transfer Bags</t>
  </si>
  <si>
    <t>Transfer Bags / نقل الأكياس</t>
  </si>
  <si>
    <t>https://10.10.10.154:200/moneybox/listTransfer</t>
  </si>
  <si>
    <t>No checkbox column is displayed in the records grid. | Users cannot select records individually. | Bulk or record-based transfer actions cannot be performed properly. | Functionality differs from the old design.</t>
  </si>
  <si>
    <t>A checkbox column should be displayed for each record. | Users should be able to select one or multiple records. | Transfer operations should support record selection as implemented in the old design. | The new design should maintain the same functionality as the old system.</t>
  </si>
  <si>
    <t>Open the Transfer Bags screen using the URL: | https://10.10.10.154:200/moneybox/listTransfer | Search for available records. | Review the records grid displayed on the page. | Compare the screen with the old design. | Observe the area where record selection checkboxes should appear.</t>
  </si>
  <si>
    <t>In the Transfer Bags screen, the record selection checkbox column is missing in the new design. Users are unable to select one or multiple records from the list for transfer-related actions. The checkbox functionality available in the old design is not present in the new screen.</t>
  </si>
  <si>
    <t>Document bug #22</t>
  </si>
  <si>
    <t>Bug Report Summary</t>
  </si>
  <si>
    <t>MB-ND-001 - Old request/record becomes hidden after editing and saving in Money Boxes screen</t>
  </si>
  <si>
    <t>Severity / Priority</t>
  </si>
  <si>
    <t>High / High</t>
  </si>
  <si>
    <t>Steps</t>
  </si>
  <si>
    <t>MB-ND-002 - Error occurs when adding new Money Box and clicking Save</t>
  </si>
  <si>
    <t>MB-ND-003 - Error occurs when adding new Section Grouping and clicking Save</t>
  </si>
  <si>
    <t>MB-ND-004 - Add button is missing in Assign Money Box subsection screen</t>
  </si>
  <si>
    <t>Medium / High / High</t>
  </si>
  <si>
    <t>MB-ND-005 - Group title/alignment is not displayed properly on Assign Money Box screen</t>
  </si>
  <si>
    <t>Low / Medium / Medium</t>
  </si>
  <si>
    <t>MB-ND-006 - Deleted record shows success message but data is not removed from Sub Money Box Type list</t>
  </si>
  <si>
    <t>MB-ND-007 - New Sub Money Box Type shows success message but data is not added in the list</t>
  </si>
  <si>
    <t>MB-ND-008 - Error occurs when changing Active/Inactive status in Field Committee List screen</t>
  </si>
  <si>
    <t>MB-ND-009 - New Field Committee record shows success message but data is not displayed in the table</t>
  </si>
  <si>
    <t>MB-ND-010 - Employee Name and Committee Name fields are missing in new Committee Members screen</t>
  </si>
  <si>
    <t>MB-ND-011 - PDF report shows processing error when opening Money Box Key Report receipt</t>
  </si>
  <si>
    <t>MB-ND-012 - Committee Report PDF displays processing error instead of complete report data</t>
  </si>
  <si>
    <t>MB-ND-013 - Service Name dropdown shows empty list in External Collections screen</t>
  </si>
  <si>
    <t>MB-ND-014 - List/Data Not Displayed in New Design While Same Data Appears Correctly in Old Design – Money Boxes Screen (Money box Test 1011)</t>
  </si>
  <si>
    <t>MB-ND-015 - Missing Columns in New Design Compared to Old Design – Money Boxes List Screen</t>
  </si>
  <si>
    <t>MB-ND-016 - Report Columns Mismatch in New Design Compared to Old Design – Collection/Lost Report</t>
  </si>
  <si>
    <t>MB-ND-017 - Status Change Popup Size/Alignment Issue – Damage Money Boxes Screen</t>
  </si>
  <si>
    <t>Medium / Medium</t>
  </si>
  <si>
    <t>MB-ND-018 - Dropdown Values Displayed in English Instead of Arabic – Damage Money Boxes Screen</t>
  </si>
  <si>
    <t>MB-ND-019 - Section Data and Selection Checkbox Missing in New Design – Bag Requests Processing Screen</t>
  </si>
  <si>
    <t>MB-ND-020 - Success Message Displayed Without Record Selection – Bag Requests Processing Screen</t>
  </si>
  <si>
    <t>MB-ND-021 - Department Column Missing in Employee Committee Report – New Design</t>
  </si>
  <si>
    <t>MB-ND-022 - Record Selection Checkbox Missing in Transfer Bags Screen – New Design</t>
  </si>
  <si>
    <t>Data</t>
  </si>
  <si>
    <t>Integration</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</si>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</sst>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font>
      <sz val="11"/>
      <name val="Carlito"/>
    </font>
    <font>
      <b/>
      <sz val="11"/>
      <color rgb="FFFFFFFF"/>
      <name val="Carlito"/>
    </font>
    <font>
      <b/>
      <sz val="16"/>
      <color rgb="FFFFFFFF"/>
      <name val="Carlito"/>
    </font>
    <font>
      <b/>
      <sz val="18"/>
      <color rgb="FFFFFFFF"/>
      <name val="Carlito"/>
    </font>
    <font>
      <i/>
      <sz val="11"/>
      <color rgb="FF1F2937"/>
      <name val="Carlito"/>
    </font>
    <font>
      <b/>
      <sz val="20"/>
      <color rgb="FF1F4E78"/>
      <name val="Carlito"/>
    </font>
    <font>
      <b/>
      <sz val="11"/>
      <name val="Carlito"/>
    </font>
  </fonts>
  <fills count="6">
    <fill>
      <patternFill patternType="none"/>
    </fill>
    <fill>
      <patternFill patternType="gray125"/>
    </fill>
    <fill>
      <patternFill patternType="solid">
        <fgColor rgb="FF1F4E78"/>
      </patternFill>
    </fill>
    <fill>
      <patternFill patternType="solid">
        <fgColor rgb="FF0F766E"/>
      </patternFill>
    </fill>
    <fill>
      <patternFill patternType="solid">
        <fgColor rgb="FFD9EAF7"/>
      </patternFill>
    </fill>
    <fill>
      <patternFill patternType="solid">
        <fgColor rgb="FFF3F4F6"/>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164" fontId="0" fillId="0" borderId="0" xfId="0" applyNumberFormat="1" applyFont="1" applyFill="1" applyBorder="1"/>
    <xf numFmtId="0" fontId="1" fillId="3" borderId="0" xfId="0" applyNumberFormat="1" applyFont="1" applyFill="1" applyBorder="1" applyAlignment="1">
      <alignment horizontal="center"/>
    </xf>
    <xf numFmtId="0" fontId="6" fillId="5" borderId="0" xfId="0" applyNumberFormat="1" applyFont="1" applyFill="1" applyBorder="1" applyAlignment="1">
      <alignment vertical="top"/>
    </xf>
    <xf numFmtId="0" fontId="3" fillId="2" borderId="0" xfId="0" applyNumberFormat="1" applyFont="1" applyFill="1" applyBorder="1" applyAlignment="1">
      <alignment horizontal="center" vertical="center"/>
    </xf>
    <xf numFmtId="0" fontId="0" fillId="0" borderId="0" xfId="0"/>
    <xf numFmtId="0" fontId="4" fillId="4" borderId="0" xfId="0" applyNumberFormat="1" applyFont="1" applyFill="1" applyBorder="1" applyAlignment="1">
      <alignment horizontal="center"/>
    </xf>
    <xf numFmtId="0" fontId="1" fillId="3" borderId="0" xfId="0" applyNumberFormat="1" applyFont="1" applyFill="1" applyBorder="1" applyAlignment="1">
      <alignment horizontal="center"/>
    </xf>
    <xf numFmtId="0" fontId="5" fillId="5" borderId="0" xfId="0" applyNumberFormat="1" applyFont="1" applyFill="1" applyBorder="1" applyAlignment="1">
      <alignment horizontal="center"/>
    </xf>
    <xf numFmtId="0" fontId="2" fillId="2" borderId="0" xfId="0" applyNumberFormat="1" applyFont="1" applyFill="1" applyBorder="1" applyAlignment="1">
      <alignment horizontal="center"/>
    </xf>
    <xf numFmtId="0" fontId="1" fillId="2" borderId="0" xfId="0" applyNumberFormat="1" applyFont="1" applyFill="1" applyBorder="1" applyAlignment="1">
      <alignment wrapText="1"/>
    </xf>
  </cellXfs>
  <cellStyles count="1">
    <cellStyle name="Normal" xfId="0" builtinId="0"/>
  </cellStyles>
  <dxfs count="4">
    <dxf>
      <fill>
        <patternFill patternType="solid">
          <bgColor rgb="FFDCFCE7"/>
        </patternFill>
      </fill>
    </dxf>
    <dxf>
      <fill>
        <patternFill patternType="solid">
          <bgColor rgb="FFFDE2E2"/>
        </patternFill>
      </fill>
    </dxf>
    <dxf>
      <fill>
        <patternFill patternType="solid">
          <bgColor rgb="FFFEF3C7"/>
        </patternFill>
      </fill>
    </dxf>
    <dxf>
      <font>
        <b/>
        <color rgb="FFB91C1C"/>
      </font>
      <fill>
        <patternFill patternType="solid">
          <bgColor rgb="FFFD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Count</c:v>
          </c:tx>
          <c:invertIfNegative val="1"/>
          <c:cat>
            <c:strRef>
              <c:f>Dashboard!$A$9:$A$13</c:f>
              <c:strCache>
                <c:ptCount val="5"/>
                <c:pt idx="0">
                  <c:v>High</c:v>
                </c:pt>
                <c:pt idx="1">
                  <c:v>Medium / High</c:v>
                </c:pt>
                <c:pt idx="2">
                  <c:v>Medium</c:v>
                </c:pt>
                <c:pt idx="3">
                  <c:v>Low / Medium</c:v>
                </c:pt>
                <c:pt idx="4">
                  <c:v>Low</c:v>
                </c:pt>
              </c:strCache>
            </c:strRef>
          </c:cat>
          <c:val>
            <c:numRef>
              <c:f>Dashboard!$B$9:$B$13</c:f>
              <c:numCache>
                <c:formatCode>General</c:formatCode>
                <c:ptCount val="5"/>
                <c:pt idx="0">
                  <c:v>14</c:v>
                </c:pt>
                <c:pt idx="1">
                  <c:v>3</c:v>
                </c:pt>
                <c:pt idx="2">
                  <c:v>4</c:v>
                </c:pt>
                <c:pt idx="3">
                  <c:v>1</c:v>
                </c:pt>
                <c:pt idx="4">
                  <c:v>0</c:v>
                </c:pt>
              </c:numCache>
            </c:numRef>
          </c:val>
          <c:extLst>
            <c:ext xmlns:c16="http://schemas.microsoft.com/office/drawing/2014/chart" uri="{C3380CC4-5D6E-409C-BE32-E72D297353CC}">
              <c16:uniqueId val="{00000000-1F92-4F55-86A6-79D45933465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tx>
            <c:v>Count</c:v>
          </c:tx>
          <c:cat>
            <c:strRef>
              <c:f>Dashboard!$G$9:$G$13</c:f>
              <c:strCache>
                <c:ptCount val="5"/>
                <c:pt idx="0">
                  <c:v>Open</c:v>
                </c:pt>
                <c:pt idx="1">
                  <c:v>In Progress</c:v>
                </c:pt>
                <c:pt idx="2">
                  <c:v>Blocked</c:v>
                </c:pt>
                <c:pt idx="3">
                  <c:v>Ready for Retest</c:v>
                </c:pt>
                <c:pt idx="4">
                  <c:v>Closed</c:v>
                </c:pt>
              </c:strCache>
            </c:strRef>
          </c:cat>
          <c:val>
            <c:numRef>
              <c:f>Dashboard!$H$9:$H$13</c:f>
              <c:numCache>
                <c:formatCode>General</c:formatCode>
                <c:ptCount val="5"/>
                <c:pt idx="0">
                  <c:v>22</c:v>
                </c:pt>
                <c:pt idx="1">
                  <c:v>0</c:v>
                </c:pt>
                <c:pt idx="2">
                  <c:v>0</c:v>
                </c:pt>
                <c:pt idx="3">
                  <c:v>0</c:v>
                </c:pt>
                <c:pt idx="4">
                  <c:v>0</c:v>
                </c:pt>
              </c:numCache>
            </c:numRef>
          </c:val>
          <c:extLst>
            <c:ext xmlns:c16="http://schemas.microsoft.com/office/drawing/2014/chart" uri="{C3380CC4-5D6E-409C-BE32-E72D297353CC}">
              <c16:uniqueId val="{00000000-D2A8-4174-BEDF-5B26FB74F619}"/>
            </c:ext>
          </c:extLst>
        </c:ser>
        <c:dLbls>
          <c:showLegendKey val="0"/>
          <c:showVal val="0"/>
          <c:showCatName val="0"/>
          <c:showSerName val="0"/>
          <c:showPercent val="0"/>
          <c:showBubbleSize val="0"/>
          <c:showLeaderLines val="0"/>
        </c:dLbls>
        <c:firstSliceAng val="0"/>
      </c:pieChart>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Count</c:v>
          </c:tx>
          <c:invertIfNegative val="1"/>
          <c:cat>
            <c:strRef>
              <c:f>Summary!$A$12:$A$20</c:f>
              <c:strCache>
                <c:ptCount val="9"/>
                <c:pt idx="0">
                  <c:v>Add/Save Error</c:v>
                </c:pt>
                <c:pt idx="1">
                  <c:v>Data Display/Refresh</c:v>
                </c:pt>
                <c:pt idx="2">
                  <c:v>Delete</c:v>
                </c:pt>
                <c:pt idx="3">
                  <c:v>Dropdown/Localization</c:v>
                </c:pt>
                <c:pt idx="4">
                  <c:v>Missing Field/Column</c:v>
                </c:pt>
                <c:pt idx="5">
                  <c:v>Report/PDF</c:v>
                </c:pt>
                <c:pt idx="6">
                  <c:v>Status/Toggle</c:v>
                </c:pt>
                <c:pt idx="7">
                  <c:v>UI/UX</c:v>
                </c:pt>
                <c:pt idx="8">
                  <c:v>Validation</c:v>
                </c:pt>
              </c:strCache>
            </c:strRef>
          </c:cat>
          <c:val>
            <c:numRef>
              <c:f>Summary!$B$12:$B$20</c:f>
              <c:numCache>
                <c:formatCode>General</c:formatCode>
                <c:ptCount val="9"/>
                <c:pt idx="0">
                  <c:v>2</c:v>
                </c:pt>
                <c:pt idx="1">
                  <c:v>4</c:v>
                </c:pt>
                <c:pt idx="2">
                  <c:v>1</c:v>
                </c:pt>
                <c:pt idx="3">
                  <c:v>2</c:v>
                </c:pt>
                <c:pt idx="4">
                  <c:v>4</c:v>
                </c:pt>
                <c:pt idx="5">
                  <c:v>5</c:v>
                </c:pt>
                <c:pt idx="6">
                  <c:v>1</c:v>
                </c:pt>
                <c:pt idx="7">
                  <c:v>2</c:v>
                </c:pt>
                <c:pt idx="8">
                  <c:v>1</c:v>
                </c:pt>
              </c:numCache>
            </c:numRef>
          </c:val>
          <c:extLst>
            <c:ext xmlns:c16="http://schemas.microsoft.com/office/drawing/2014/chart" uri="{C3380CC4-5D6E-409C-BE32-E72D297353CC}">
              <c16:uniqueId val="{00000000-F3AF-4BE8-A3F6-179C64C2E97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0</xdr:rowOff>
    </xdr:from>
    <xdr:to>
      <xdr:col>12</xdr:col>
      <xdr:colOff>0</xdr:colOff>
      <xdr:row>15</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0</xdr:rowOff>
    </xdr:from>
    <xdr:to>
      <xdr:col>8</xdr:col>
      <xdr:colOff>0</xdr:colOff>
      <xdr:row>36</xdr:row>
      <xdr:rowOff>0</xdr:rowOff>
    </xdr:to>
    <xdr:graphicFrame macro="">
      <xdr:nvGraphicFramePr>
        <xdr:cNvPr id="3"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3</xdr:col>
      <xdr:colOff>0</xdr:colOff>
      <xdr:row>36</xdr:row>
      <xdr:rowOff>0</xdr:rowOff>
    </xdr:to>
    <xdr:graphicFrame macro="">
      <xdr:nvGraphicFramePr>
        <xdr:cNvPr id="4"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BugTrackerTable" displayName="BugTrackerTable" ref="A1:V23">
  <tableColumns count="22">
    <tableColumn id="1" name="Bug ID"/>
    <tableColumn id="2" name="Bug Title"/>
    <tableColumn id="3" name="Module"/>
    <tableColumn id="4" name="Sub Module"/>
    <tableColumn id="5" name="Screen/Page"/>
    <tableColumn id="6" name="URL"/>
    <tableColumn id="7" name="Defect Type"/>
    <tableColumn id="8" name="Category"/>
    <tableColumn id="9" name="Severity"/>
    <tableColumn id="10" name="Priority"/>
    <tableColumn id="11" name="Status"/>
    <tableColumn id="12" name="Assigned To"/>
    <tableColumn id="13" name="Reported By"/>
    <tableColumn id="14" name="Reported Date"/>
    <tableColumn id="15" name="Target Fix Date"/>
    <tableColumn id="16" name="Environment"/>
    <tableColumn id="17" name="Actual Result"/>
    <tableColumn id="18" name="Expected Result"/>
    <tableColumn id="19" name="Steps to Reproduce"/>
    <tableColumn id="20" name="Description"/>
    <tableColumn id="21" name="Evidence/Page Ref"/>
    <tableColumn id="22" name="Remark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showGridLines="0" tabSelected="1" workbookViewId="0">
      <selection activeCell="J18" sqref="J18"/>
    </sheetView>
  </sheetViews>
  <sheetFormatPr defaultRowHeight="14.25"/>
  <cols>
    <col min="1" max="1" width="15" customWidth="1"/>
    <col min="2" max="2" width="19.375" customWidth="1"/>
    <col min="3" max="12" width="15" customWidth="1"/>
  </cols>
  <sheetData>
    <row r="1" spans="1:12" ht="23.25">
      <c r="A1" s="8" t="s">
        <v>0</v>
      </c>
      <c r="B1" s="9"/>
      <c r="C1" s="9"/>
      <c r="D1" s="9"/>
      <c r="E1" s="9"/>
      <c r="F1" s="9"/>
      <c r="G1" s="9"/>
      <c r="H1" s="9"/>
      <c r="I1" s="9"/>
      <c r="J1" s="9"/>
      <c r="K1" s="9"/>
      <c r="L1" s="9"/>
    </row>
    <row r="2" spans="1:12">
      <c r="A2" s="10" t="s">
        <v>1</v>
      </c>
      <c r="B2" s="9"/>
      <c r="C2" s="9"/>
      <c r="D2" s="9"/>
      <c r="E2" s="9"/>
      <c r="F2" s="9"/>
      <c r="G2" s="9"/>
      <c r="H2" s="9"/>
      <c r="I2" s="9"/>
      <c r="J2" s="9"/>
      <c r="K2" s="9"/>
      <c r="L2" s="9"/>
    </row>
    <row r="4" spans="1:12" ht="15">
      <c r="A4" s="11" t="s">
        <v>2</v>
      </c>
      <c r="B4" s="11" t="s">
        <v>2</v>
      </c>
      <c r="C4" s="11" t="s">
        <v>3</v>
      </c>
      <c r="D4" s="11" t="s">
        <v>3</v>
      </c>
      <c r="E4" s="11" t="s">
        <v>4</v>
      </c>
      <c r="F4" s="11" t="s">
        <v>4</v>
      </c>
      <c r="G4" s="11" t="s">
        <v>5</v>
      </c>
      <c r="H4" s="11" t="s">
        <v>5</v>
      </c>
      <c r="I4" s="11" t="s">
        <v>6</v>
      </c>
      <c r="J4" s="11" t="s">
        <v>6</v>
      </c>
      <c r="K4" s="11" t="s">
        <v>7</v>
      </c>
      <c r="L4" s="11" t="s">
        <v>7</v>
      </c>
    </row>
    <row r="5" spans="1:12" ht="26.25">
      <c r="A5" s="12">
        <f>COUNTA('Bug Tracker'!$A$2:$A$100)</f>
        <v>22</v>
      </c>
      <c r="B5" s="12"/>
      <c r="C5" s="12">
        <f>COUNTIF('Bug Tracker'!$K$2:$K$100,"Open")</f>
        <v>22</v>
      </c>
      <c r="D5" s="12"/>
      <c r="E5" s="12">
        <f>COUNTIF('Bug Tracker'!$I$2:$I$100,"High")</f>
        <v>14</v>
      </c>
      <c r="F5" s="12"/>
      <c r="G5" s="12">
        <f>COUNTIF('Bug Tracker'!$J$2:$J$100,"High")</f>
        <v>18</v>
      </c>
      <c r="H5" s="12"/>
      <c r="I5" s="12">
        <f>COUNTIF('Bug Tracker'!$H$2:$H$100,"Report/PDF")</f>
        <v>5</v>
      </c>
      <c r="J5" s="12"/>
      <c r="K5" s="12">
        <f>COUNTIF('Bug Tracker'!$H$2:$H$100,"Missing Field/Column")</f>
        <v>4</v>
      </c>
      <c r="L5" s="12"/>
    </row>
    <row r="7" spans="1:12">
      <c r="A7" t="s">
        <v>8</v>
      </c>
      <c r="D7" t="s">
        <v>9</v>
      </c>
      <c r="G7" t="s">
        <v>10</v>
      </c>
    </row>
    <row r="8" spans="1:12" ht="15">
      <c r="A8" s="6" t="s">
        <v>11</v>
      </c>
      <c r="B8" s="6" t="s">
        <v>12</v>
      </c>
      <c r="D8" s="6" t="s">
        <v>13</v>
      </c>
      <c r="E8" s="6" t="s">
        <v>12</v>
      </c>
      <c r="G8" s="6" t="s">
        <v>14</v>
      </c>
      <c r="H8" s="6" t="s">
        <v>12</v>
      </c>
    </row>
    <row r="9" spans="1:12">
      <c r="A9" t="s">
        <v>15</v>
      </c>
      <c r="B9">
        <f>Summary!B4</f>
        <v>14</v>
      </c>
      <c r="D9" t="s">
        <v>15</v>
      </c>
      <c r="E9">
        <f>Summary!E4</f>
        <v>18</v>
      </c>
      <c r="G9" t="s">
        <v>3</v>
      </c>
      <c r="H9">
        <f>Summary!H4</f>
        <v>22</v>
      </c>
    </row>
    <row r="10" spans="1:12">
      <c r="A10" t="s">
        <v>16</v>
      </c>
      <c r="B10">
        <f>Summary!B5</f>
        <v>3</v>
      </c>
      <c r="D10" t="s">
        <v>17</v>
      </c>
      <c r="E10">
        <f>Summary!E5</f>
        <v>4</v>
      </c>
      <c r="G10" t="s">
        <v>18</v>
      </c>
      <c r="H10">
        <f>Summary!H5</f>
        <v>0</v>
      </c>
    </row>
    <row r="11" spans="1:12">
      <c r="A11" t="s">
        <v>17</v>
      </c>
      <c r="B11">
        <f>Summary!B6</f>
        <v>4</v>
      </c>
      <c r="D11" t="s">
        <v>19</v>
      </c>
      <c r="E11">
        <f>Summary!E6</f>
        <v>0</v>
      </c>
      <c r="G11" t="s">
        <v>20</v>
      </c>
      <c r="H11">
        <f>Summary!H6</f>
        <v>0</v>
      </c>
    </row>
    <row r="12" spans="1:12">
      <c r="A12" t="s">
        <v>21</v>
      </c>
      <c r="B12">
        <f>Summary!B7</f>
        <v>1</v>
      </c>
      <c r="D12" t="s">
        <v>22</v>
      </c>
      <c r="E12">
        <f>Summary!E7</f>
        <v>0</v>
      </c>
      <c r="G12" t="s">
        <v>23</v>
      </c>
      <c r="H12">
        <f>Summary!H7</f>
        <v>0</v>
      </c>
    </row>
    <row r="13" spans="1:12">
      <c r="A13" t="s">
        <v>19</v>
      </c>
      <c r="B13">
        <f>Summary!B8</f>
        <v>0</v>
      </c>
      <c r="G13" t="s">
        <v>24</v>
      </c>
      <c r="H13">
        <f>Summary!H8</f>
        <v>0</v>
      </c>
    </row>
    <row r="16" spans="1:12" ht="15">
      <c r="A16" s="11" t="s">
        <v>25</v>
      </c>
      <c r="B16" s="9"/>
      <c r="C16" s="9"/>
      <c r="D16" s="9"/>
      <c r="E16" s="9"/>
      <c r="F16" s="9"/>
      <c r="G16" s="9"/>
      <c r="H16" s="9"/>
      <c r="I16" s="9"/>
      <c r="J16" s="9"/>
      <c r="K16" s="9"/>
      <c r="L16" s="9"/>
    </row>
    <row r="17" spans="1:12" ht="57">
      <c r="A17" s="1" t="s">
        <v>26</v>
      </c>
      <c r="B17" s="1" t="s">
        <v>27</v>
      </c>
      <c r="C17" s="1"/>
      <c r="D17" s="1"/>
      <c r="E17" s="1"/>
      <c r="F17" s="1"/>
      <c r="G17" s="1"/>
      <c r="H17" s="1"/>
      <c r="I17" s="1"/>
      <c r="J17" s="1"/>
      <c r="K17" s="1"/>
      <c r="L17" s="1"/>
    </row>
    <row r="18" spans="1:12" ht="128.25">
      <c r="A18" s="1" t="s">
        <v>28</v>
      </c>
      <c r="B18" s="1" t="s">
        <v>29</v>
      </c>
      <c r="C18" s="1"/>
      <c r="D18" s="1"/>
      <c r="E18" s="1"/>
      <c r="F18" s="1"/>
      <c r="G18" s="1"/>
      <c r="H18" s="1"/>
      <c r="I18" s="1"/>
      <c r="J18" s="1"/>
      <c r="K18" s="1"/>
      <c r="L18" s="1"/>
    </row>
    <row r="19" spans="1:12" ht="142.5">
      <c r="A19" s="1" t="s">
        <v>30</v>
      </c>
      <c r="B19" s="1" t="s">
        <v>31</v>
      </c>
      <c r="C19" s="1"/>
      <c r="D19" s="1"/>
      <c r="E19" s="1"/>
      <c r="F19" s="1"/>
      <c r="G19" s="1"/>
      <c r="H19" s="1"/>
      <c r="I19" s="1"/>
      <c r="J19" s="1"/>
      <c r="K19" s="1"/>
      <c r="L19" s="1"/>
    </row>
  </sheetData>
  <mergeCells count="15">
    <mergeCell ref="A16:L16"/>
    <mergeCell ref="A1:L1"/>
    <mergeCell ref="A2:L2"/>
    <mergeCell ref="A4:B4"/>
    <mergeCell ref="A5:B5"/>
    <mergeCell ref="C4:D4"/>
    <mergeCell ref="C5:D5"/>
    <mergeCell ref="E4:F4"/>
    <mergeCell ref="E5:F5"/>
    <mergeCell ref="G4:H4"/>
    <mergeCell ref="G5:H5"/>
    <mergeCell ref="I4:J4"/>
    <mergeCell ref="I5:J5"/>
    <mergeCell ref="K4:L4"/>
    <mergeCell ref="K5:L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
  <sheetViews>
    <sheetView showGridLines="0" workbookViewId="0">
      <selection activeCell="C4" sqref="C4"/>
    </sheetView>
  </sheetViews>
  <sheetFormatPr defaultRowHeight="14.25"/>
  <cols>
    <col min="1" max="1" width="12" customWidth="1"/>
    <col min="2" max="2" width="42" customWidth="1"/>
    <col min="3" max="5" width="26" customWidth="1"/>
    <col min="6" max="6" width="45" customWidth="1"/>
    <col min="7" max="11" width="16" customWidth="1"/>
    <col min="12" max="16" width="18" customWidth="1"/>
    <col min="17" max="20" width="45" customWidth="1"/>
    <col min="21" max="22" width="20" customWidth="1"/>
  </cols>
  <sheetData>
    <row r="1" spans="1:22" ht="15">
      <c r="A1" s="2" t="s">
        <v>32</v>
      </c>
      <c r="B1" s="2" t="s">
        <v>33</v>
      </c>
      <c r="C1" s="2" t="s">
        <v>34</v>
      </c>
      <c r="D1" s="2" t="s">
        <v>35</v>
      </c>
      <c r="E1" s="2" t="s">
        <v>36</v>
      </c>
      <c r="F1" s="2" t="s">
        <v>37</v>
      </c>
      <c r="G1" s="2" t="s">
        <v>38</v>
      </c>
      <c r="H1" s="2" t="s">
        <v>39</v>
      </c>
      <c r="I1" s="2" t="s">
        <v>11</v>
      </c>
      <c r="J1" s="2" t="s">
        <v>13</v>
      </c>
      <c r="K1" s="2" t="s">
        <v>14</v>
      </c>
      <c r="L1" s="2" t="s">
        <v>40</v>
      </c>
      <c r="M1" s="2" t="s">
        <v>41</v>
      </c>
      <c r="N1" s="2" t="s">
        <v>42</v>
      </c>
      <c r="O1" s="2" t="s">
        <v>43</v>
      </c>
      <c r="P1" s="2" t="s">
        <v>44</v>
      </c>
      <c r="Q1" s="2" t="s">
        <v>45</v>
      </c>
      <c r="R1" s="2" t="s">
        <v>46</v>
      </c>
      <c r="S1" s="2" t="s">
        <v>47</v>
      </c>
      <c r="T1" s="2" t="s">
        <v>48</v>
      </c>
      <c r="U1" s="2" t="s">
        <v>49</v>
      </c>
      <c r="V1" s="2" t="s">
        <v>50</v>
      </c>
    </row>
    <row r="2" spans="1:22" ht="114">
      <c r="A2" s="3" t="s">
        <v>51</v>
      </c>
      <c r="B2" s="3" t="s">
        <v>52</v>
      </c>
      <c r="C2" s="3" t="s">
        <v>53</v>
      </c>
      <c r="D2" s="3"/>
      <c r="E2" s="3" t="s">
        <v>54</v>
      </c>
      <c r="F2" s="3" t="s">
        <v>55</v>
      </c>
      <c r="G2" s="3" t="s">
        <v>56</v>
      </c>
      <c r="H2" s="3" t="s">
        <v>57</v>
      </c>
      <c r="I2" s="3" t="s">
        <v>15</v>
      </c>
      <c r="J2" s="3" t="s">
        <v>15</v>
      </c>
      <c r="K2" s="3" t="s">
        <v>3</v>
      </c>
      <c r="L2" s="3" t="s">
        <v>58</v>
      </c>
      <c r="M2" s="3" t="s">
        <v>59</v>
      </c>
      <c r="N2" s="4">
        <v>46179</v>
      </c>
      <c r="O2" s="4">
        <v>46182</v>
      </c>
      <c r="P2" s="3" t="s">
        <v>60</v>
      </c>
      <c r="Q2" s="3" t="s">
        <v>61</v>
      </c>
      <c r="R2" s="3" t="s">
        <v>62</v>
      </c>
      <c r="S2" s="3" t="s">
        <v>63</v>
      </c>
      <c r="T2" s="3" t="s">
        <v>64</v>
      </c>
      <c r="U2" s="3" t="s">
        <v>65</v>
      </c>
      <c r="V2" s="3" t="s">
        <v>66</v>
      </c>
    </row>
    <row r="3" spans="1:22" ht="114">
      <c r="A3" s="3" t="s">
        <v>67</v>
      </c>
      <c r="B3" s="3" t="s">
        <v>68</v>
      </c>
      <c r="C3" s="3" t="s">
        <v>53</v>
      </c>
      <c r="D3" s="3"/>
      <c r="E3" s="3" t="s">
        <v>54</v>
      </c>
      <c r="F3" s="3" t="s">
        <v>55</v>
      </c>
      <c r="G3" s="3" t="s">
        <v>56</v>
      </c>
      <c r="H3" s="3" t="s">
        <v>69</v>
      </c>
      <c r="I3" s="3" t="s">
        <v>15</v>
      </c>
      <c r="J3" s="3" t="s">
        <v>15</v>
      </c>
      <c r="K3" s="3" t="s">
        <v>3</v>
      </c>
      <c r="L3" s="3" t="s">
        <v>58</v>
      </c>
      <c r="M3" s="3" t="s">
        <v>59</v>
      </c>
      <c r="N3" s="4">
        <v>46179</v>
      </c>
      <c r="O3" s="4">
        <v>46182</v>
      </c>
      <c r="P3" s="3" t="s">
        <v>60</v>
      </c>
      <c r="Q3" s="3" t="s">
        <v>70</v>
      </c>
      <c r="R3" s="3" t="s">
        <v>71</v>
      </c>
      <c r="S3" s="3" t="s">
        <v>72</v>
      </c>
      <c r="T3" s="3" t="s">
        <v>73</v>
      </c>
      <c r="U3" s="3" t="s">
        <v>74</v>
      </c>
      <c r="V3" s="3" t="s">
        <v>66</v>
      </c>
    </row>
    <row r="4" spans="1:22" ht="114">
      <c r="A4" s="3" t="s">
        <v>75</v>
      </c>
      <c r="B4" s="3" t="s">
        <v>76</v>
      </c>
      <c r="C4" s="3" t="s">
        <v>53</v>
      </c>
      <c r="D4" s="3" t="s">
        <v>77</v>
      </c>
      <c r="E4" s="3" t="s">
        <v>78</v>
      </c>
      <c r="F4" s="3" t="s">
        <v>79</v>
      </c>
      <c r="G4" s="3" t="s">
        <v>56</v>
      </c>
      <c r="H4" s="3" t="s">
        <v>69</v>
      </c>
      <c r="I4" s="3" t="s">
        <v>15</v>
      </c>
      <c r="J4" s="3" t="s">
        <v>15</v>
      </c>
      <c r="K4" s="3" t="s">
        <v>3</v>
      </c>
      <c r="L4" s="3" t="s">
        <v>58</v>
      </c>
      <c r="M4" s="3" t="s">
        <v>59</v>
      </c>
      <c r="N4" s="4">
        <v>46179</v>
      </c>
      <c r="O4" s="4">
        <v>46182</v>
      </c>
      <c r="P4" s="3" t="s">
        <v>60</v>
      </c>
      <c r="Q4" s="3" t="s">
        <v>80</v>
      </c>
      <c r="R4" s="3" t="s">
        <v>81</v>
      </c>
      <c r="S4" s="3" t="s">
        <v>82</v>
      </c>
      <c r="T4" s="3" t="s">
        <v>83</v>
      </c>
      <c r="U4" s="3" t="s">
        <v>84</v>
      </c>
      <c r="V4" s="3" t="s">
        <v>66</v>
      </c>
    </row>
    <row r="5" spans="1:22" ht="99.75">
      <c r="A5" s="3" t="s">
        <v>85</v>
      </c>
      <c r="B5" s="3" t="s">
        <v>86</v>
      </c>
      <c r="C5" s="3" t="s">
        <v>53</v>
      </c>
      <c r="D5" s="3" t="s">
        <v>87</v>
      </c>
      <c r="E5" s="3" t="s">
        <v>88</v>
      </c>
      <c r="F5" s="3" t="s">
        <v>89</v>
      </c>
      <c r="G5" s="3" t="s">
        <v>56</v>
      </c>
      <c r="H5" s="3" t="s">
        <v>7</v>
      </c>
      <c r="I5" s="3" t="s">
        <v>16</v>
      </c>
      <c r="J5" s="3" t="s">
        <v>15</v>
      </c>
      <c r="K5" s="3" t="s">
        <v>3</v>
      </c>
      <c r="L5" s="3" t="s">
        <v>58</v>
      </c>
      <c r="M5" s="3" t="s">
        <v>59</v>
      </c>
      <c r="N5" s="4">
        <v>46179</v>
      </c>
      <c r="O5" s="4">
        <v>46182</v>
      </c>
      <c r="P5" s="3" t="s">
        <v>60</v>
      </c>
      <c r="Q5" s="3" t="s">
        <v>90</v>
      </c>
      <c r="R5" s="3" t="s">
        <v>91</v>
      </c>
      <c r="S5" s="3" t="s">
        <v>92</v>
      </c>
      <c r="T5" s="3" t="s">
        <v>93</v>
      </c>
      <c r="U5" s="3" t="s">
        <v>94</v>
      </c>
      <c r="V5" s="3" t="s">
        <v>66</v>
      </c>
    </row>
    <row r="6" spans="1:22" ht="99.75">
      <c r="A6" s="3" t="s">
        <v>95</v>
      </c>
      <c r="B6" s="3" t="s">
        <v>96</v>
      </c>
      <c r="C6" s="3" t="s">
        <v>53</v>
      </c>
      <c r="D6" s="3" t="s">
        <v>87</v>
      </c>
      <c r="E6" s="3" t="s">
        <v>88</v>
      </c>
      <c r="F6" s="3" t="s">
        <v>89</v>
      </c>
      <c r="G6" s="3" t="s">
        <v>97</v>
      </c>
      <c r="H6" s="3" t="s">
        <v>97</v>
      </c>
      <c r="I6" s="3" t="s">
        <v>21</v>
      </c>
      <c r="J6" s="3" t="s">
        <v>17</v>
      </c>
      <c r="K6" s="3" t="s">
        <v>3</v>
      </c>
      <c r="L6" s="3" t="s">
        <v>58</v>
      </c>
      <c r="M6" s="3" t="s">
        <v>59</v>
      </c>
      <c r="N6" s="4">
        <v>46179</v>
      </c>
      <c r="O6" s="4">
        <v>46186</v>
      </c>
      <c r="P6" s="3" t="s">
        <v>60</v>
      </c>
      <c r="Q6" s="3" t="s">
        <v>98</v>
      </c>
      <c r="R6" s="3" t="s">
        <v>99</v>
      </c>
      <c r="S6" s="3" t="s">
        <v>100</v>
      </c>
      <c r="T6" s="3" t="s">
        <v>101</v>
      </c>
      <c r="U6" s="3" t="s">
        <v>102</v>
      </c>
      <c r="V6" s="3" t="s">
        <v>66</v>
      </c>
    </row>
    <row r="7" spans="1:22" ht="114">
      <c r="A7" s="3" t="s">
        <v>103</v>
      </c>
      <c r="B7" s="3" t="s">
        <v>104</v>
      </c>
      <c r="C7" s="3" t="s">
        <v>53</v>
      </c>
      <c r="D7" s="3" t="s">
        <v>105</v>
      </c>
      <c r="E7" s="3" t="s">
        <v>106</v>
      </c>
      <c r="F7" s="3" t="s">
        <v>107</v>
      </c>
      <c r="G7" s="3" t="s">
        <v>56</v>
      </c>
      <c r="H7" s="3" t="s">
        <v>108</v>
      </c>
      <c r="I7" s="3" t="s">
        <v>16</v>
      </c>
      <c r="J7" s="3" t="s">
        <v>15</v>
      </c>
      <c r="K7" s="3" t="s">
        <v>3</v>
      </c>
      <c r="L7" s="3" t="s">
        <v>58</v>
      </c>
      <c r="M7" s="3" t="s">
        <v>59</v>
      </c>
      <c r="N7" s="4">
        <v>46179</v>
      </c>
      <c r="O7" s="4">
        <v>46182</v>
      </c>
      <c r="P7" s="3" t="s">
        <v>60</v>
      </c>
      <c r="Q7" s="3" t="s">
        <v>109</v>
      </c>
      <c r="R7" s="3" t="s">
        <v>110</v>
      </c>
      <c r="S7" s="3" t="s">
        <v>111</v>
      </c>
      <c r="T7" s="3" t="s">
        <v>112</v>
      </c>
      <c r="U7" s="3" t="s">
        <v>113</v>
      </c>
      <c r="V7" s="3" t="s">
        <v>66</v>
      </c>
    </row>
    <row r="8" spans="1:22" ht="114">
      <c r="A8" s="3" t="s">
        <v>114</v>
      </c>
      <c r="B8" s="3" t="s">
        <v>115</v>
      </c>
      <c r="C8" s="3" t="s">
        <v>53</v>
      </c>
      <c r="D8" s="3" t="s">
        <v>105</v>
      </c>
      <c r="E8" s="3" t="s">
        <v>106</v>
      </c>
      <c r="F8" s="3" t="s">
        <v>107</v>
      </c>
      <c r="G8" s="3" t="s">
        <v>56</v>
      </c>
      <c r="H8" s="3" t="s">
        <v>57</v>
      </c>
      <c r="I8" s="3" t="s">
        <v>15</v>
      </c>
      <c r="J8" s="3" t="s">
        <v>15</v>
      </c>
      <c r="K8" s="3" t="s">
        <v>3</v>
      </c>
      <c r="L8" s="3" t="s">
        <v>58</v>
      </c>
      <c r="M8" s="3" t="s">
        <v>59</v>
      </c>
      <c r="N8" s="4">
        <v>46179</v>
      </c>
      <c r="O8" s="4">
        <v>46182</v>
      </c>
      <c r="P8" s="3" t="s">
        <v>60</v>
      </c>
      <c r="Q8" s="3" t="s">
        <v>116</v>
      </c>
      <c r="R8" s="3" t="s">
        <v>117</v>
      </c>
      <c r="S8" s="3" t="s">
        <v>118</v>
      </c>
      <c r="T8" s="3" t="s">
        <v>119</v>
      </c>
      <c r="U8" s="3" t="s">
        <v>120</v>
      </c>
      <c r="V8" s="3" t="s">
        <v>66</v>
      </c>
    </row>
    <row r="9" spans="1:22" ht="114">
      <c r="A9" s="3" t="s">
        <v>121</v>
      </c>
      <c r="B9" s="3" t="s">
        <v>122</v>
      </c>
      <c r="C9" s="3" t="s">
        <v>53</v>
      </c>
      <c r="D9" s="3" t="s">
        <v>123</v>
      </c>
      <c r="E9" s="3" t="s">
        <v>124</v>
      </c>
      <c r="F9" s="3" t="s">
        <v>125</v>
      </c>
      <c r="G9" s="3" t="s">
        <v>56</v>
      </c>
      <c r="H9" s="3" t="s">
        <v>126</v>
      </c>
      <c r="I9" s="3" t="s">
        <v>15</v>
      </c>
      <c r="J9" s="3" t="s">
        <v>15</v>
      </c>
      <c r="K9" s="3" t="s">
        <v>3</v>
      </c>
      <c r="L9" s="3" t="s">
        <v>58</v>
      </c>
      <c r="M9" s="3" t="s">
        <v>59</v>
      </c>
      <c r="N9" s="4">
        <v>46179</v>
      </c>
      <c r="O9" s="4">
        <v>46182</v>
      </c>
      <c r="P9" s="3" t="s">
        <v>60</v>
      </c>
      <c r="Q9" s="3" t="s">
        <v>127</v>
      </c>
      <c r="R9" s="3" t="s">
        <v>128</v>
      </c>
      <c r="S9" s="3" t="s">
        <v>129</v>
      </c>
      <c r="T9" s="3" t="s">
        <v>130</v>
      </c>
      <c r="U9" s="3" t="s">
        <v>131</v>
      </c>
      <c r="V9" s="3" t="s">
        <v>66</v>
      </c>
    </row>
    <row r="10" spans="1:22" ht="156.75">
      <c r="A10" s="3" t="s">
        <v>132</v>
      </c>
      <c r="B10" s="3" t="s">
        <v>133</v>
      </c>
      <c r="C10" s="3" t="s">
        <v>53</v>
      </c>
      <c r="D10" s="3" t="s">
        <v>123</v>
      </c>
      <c r="E10" s="3" t="s">
        <v>124</v>
      </c>
      <c r="F10" s="3" t="s">
        <v>125</v>
      </c>
      <c r="G10" s="3" t="s">
        <v>56</v>
      </c>
      <c r="H10" s="3" t="s">
        <v>57</v>
      </c>
      <c r="I10" s="3" t="s">
        <v>15</v>
      </c>
      <c r="J10" s="3" t="s">
        <v>15</v>
      </c>
      <c r="K10" s="3" t="s">
        <v>3</v>
      </c>
      <c r="L10" s="3" t="s">
        <v>58</v>
      </c>
      <c r="M10" s="3" t="s">
        <v>59</v>
      </c>
      <c r="N10" s="4">
        <v>46179</v>
      </c>
      <c r="O10" s="4">
        <v>46182</v>
      </c>
      <c r="P10" s="3" t="s">
        <v>60</v>
      </c>
      <c r="Q10" s="3" t="s">
        <v>134</v>
      </c>
      <c r="R10" s="3" t="s">
        <v>135</v>
      </c>
      <c r="S10" s="3" t="s">
        <v>136</v>
      </c>
      <c r="T10" s="3" t="s">
        <v>137</v>
      </c>
      <c r="U10" s="3" t="s">
        <v>138</v>
      </c>
      <c r="V10" s="3" t="s">
        <v>66</v>
      </c>
    </row>
    <row r="11" spans="1:22" ht="114">
      <c r="A11" s="3" t="s">
        <v>139</v>
      </c>
      <c r="B11" s="3" t="s">
        <v>140</v>
      </c>
      <c r="C11" s="3" t="s">
        <v>53</v>
      </c>
      <c r="D11" s="3" t="s">
        <v>141</v>
      </c>
      <c r="E11" s="3" t="s">
        <v>142</v>
      </c>
      <c r="F11" s="3" t="s">
        <v>143</v>
      </c>
      <c r="G11" s="3" t="s">
        <v>56</v>
      </c>
      <c r="H11" s="3" t="s">
        <v>7</v>
      </c>
      <c r="I11" s="3" t="s">
        <v>15</v>
      </c>
      <c r="J11" s="3" t="s">
        <v>15</v>
      </c>
      <c r="K11" s="3" t="s">
        <v>3</v>
      </c>
      <c r="L11" s="3" t="s">
        <v>58</v>
      </c>
      <c r="M11" s="3" t="s">
        <v>59</v>
      </c>
      <c r="N11" s="4">
        <v>46179</v>
      </c>
      <c r="O11" s="4">
        <v>46182</v>
      </c>
      <c r="P11" s="3" t="s">
        <v>60</v>
      </c>
      <c r="Q11" s="3" t="s">
        <v>144</v>
      </c>
      <c r="R11" s="3" t="s">
        <v>145</v>
      </c>
      <c r="S11" s="3" t="s">
        <v>146</v>
      </c>
      <c r="T11" s="3" t="s">
        <v>147</v>
      </c>
      <c r="U11" s="3" t="s">
        <v>148</v>
      </c>
      <c r="V11" s="3" t="s">
        <v>66</v>
      </c>
    </row>
    <row r="12" spans="1:22" ht="114">
      <c r="A12" s="3" t="s">
        <v>149</v>
      </c>
      <c r="B12" s="3" t="s">
        <v>150</v>
      </c>
      <c r="C12" s="3" t="s">
        <v>53</v>
      </c>
      <c r="D12" s="3" t="s">
        <v>151</v>
      </c>
      <c r="E12" s="3" t="s">
        <v>152</v>
      </c>
      <c r="F12" s="3" t="s">
        <v>153</v>
      </c>
      <c r="G12" s="3" t="s">
        <v>154</v>
      </c>
      <c r="H12" s="3" t="s">
        <v>155</v>
      </c>
      <c r="I12" s="3" t="s">
        <v>15</v>
      </c>
      <c r="J12" s="3" t="s">
        <v>15</v>
      </c>
      <c r="K12" s="3" t="s">
        <v>3</v>
      </c>
      <c r="L12" s="3" t="s">
        <v>58</v>
      </c>
      <c r="M12" s="3" t="s">
        <v>59</v>
      </c>
      <c r="N12" s="4">
        <v>46179</v>
      </c>
      <c r="O12" s="4">
        <v>46182</v>
      </c>
      <c r="P12" s="3" t="s">
        <v>60</v>
      </c>
      <c r="Q12" s="3" t="s">
        <v>156</v>
      </c>
      <c r="R12" s="3" t="s">
        <v>157</v>
      </c>
      <c r="S12" s="3" t="s">
        <v>158</v>
      </c>
      <c r="T12" s="3" t="s">
        <v>159</v>
      </c>
      <c r="U12" s="3" t="s">
        <v>160</v>
      </c>
      <c r="V12" s="3" t="s">
        <v>66</v>
      </c>
    </row>
    <row r="13" spans="1:22" ht="142.5">
      <c r="A13" s="3" t="s">
        <v>161</v>
      </c>
      <c r="B13" s="3" t="s">
        <v>162</v>
      </c>
      <c r="C13" s="3" t="s">
        <v>53</v>
      </c>
      <c r="D13" s="3" t="s">
        <v>163</v>
      </c>
      <c r="E13" s="3" t="s">
        <v>164</v>
      </c>
      <c r="F13" s="3" t="s">
        <v>165</v>
      </c>
      <c r="G13" s="3" t="s">
        <v>154</v>
      </c>
      <c r="H13" s="3" t="s">
        <v>155</v>
      </c>
      <c r="I13" s="3" t="s">
        <v>15</v>
      </c>
      <c r="J13" s="3" t="s">
        <v>15</v>
      </c>
      <c r="K13" s="3" t="s">
        <v>3</v>
      </c>
      <c r="L13" s="3" t="s">
        <v>58</v>
      </c>
      <c r="M13" s="3" t="s">
        <v>59</v>
      </c>
      <c r="N13" s="4">
        <v>46179</v>
      </c>
      <c r="O13" s="4">
        <v>46182</v>
      </c>
      <c r="P13" s="3" t="s">
        <v>60</v>
      </c>
      <c r="Q13" s="3" t="s">
        <v>166</v>
      </c>
      <c r="R13" s="3" t="s">
        <v>167</v>
      </c>
      <c r="S13" s="3" t="s">
        <v>168</v>
      </c>
      <c r="T13" s="3" t="s">
        <v>169</v>
      </c>
      <c r="U13" s="3" t="s">
        <v>170</v>
      </c>
      <c r="V13" s="3" t="s">
        <v>66</v>
      </c>
    </row>
    <row r="14" spans="1:22" ht="128.25">
      <c r="A14" s="3" t="s">
        <v>171</v>
      </c>
      <c r="B14" s="3" t="s">
        <v>172</v>
      </c>
      <c r="C14" s="3" t="s">
        <v>53</v>
      </c>
      <c r="D14" s="3" t="s">
        <v>173</v>
      </c>
      <c r="E14" s="3" t="s">
        <v>174</v>
      </c>
      <c r="F14" s="3" t="s">
        <v>175</v>
      </c>
      <c r="G14" s="3" t="s">
        <v>176</v>
      </c>
      <c r="H14" s="3" t="s">
        <v>177</v>
      </c>
      <c r="I14" s="3" t="s">
        <v>16</v>
      </c>
      <c r="J14" s="3" t="s">
        <v>15</v>
      </c>
      <c r="K14" s="3" t="s">
        <v>3</v>
      </c>
      <c r="L14" s="3" t="s">
        <v>58</v>
      </c>
      <c r="M14" s="3" t="s">
        <v>59</v>
      </c>
      <c r="N14" s="4">
        <v>46179</v>
      </c>
      <c r="O14" s="4">
        <v>46182</v>
      </c>
      <c r="P14" s="3" t="s">
        <v>60</v>
      </c>
      <c r="Q14" s="3" t="s">
        <v>178</v>
      </c>
      <c r="R14" s="3" t="s">
        <v>179</v>
      </c>
      <c r="S14" s="3" t="s">
        <v>180</v>
      </c>
      <c r="T14" s="3" t="s">
        <v>181</v>
      </c>
      <c r="U14" s="3" t="s">
        <v>182</v>
      </c>
      <c r="V14" s="3" t="s">
        <v>66</v>
      </c>
    </row>
    <row r="15" spans="1:22" ht="114">
      <c r="A15" s="3" t="s">
        <v>183</v>
      </c>
      <c r="B15" s="3" t="s">
        <v>184</v>
      </c>
      <c r="C15" s="3" t="s">
        <v>53</v>
      </c>
      <c r="D15" s="3"/>
      <c r="E15" s="3" t="s">
        <v>54</v>
      </c>
      <c r="F15" s="3" t="s">
        <v>55</v>
      </c>
      <c r="G15" s="3" t="s">
        <v>56</v>
      </c>
      <c r="H15" s="3" t="s">
        <v>57</v>
      </c>
      <c r="I15" s="3" t="s">
        <v>15</v>
      </c>
      <c r="J15" s="3" t="s">
        <v>15</v>
      </c>
      <c r="K15" s="3" t="s">
        <v>3</v>
      </c>
      <c r="L15" s="3" t="s">
        <v>58</v>
      </c>
      <c r="M15" s="3" t="s">
        <v>59</v>
      </c>
      <c r="N15" s="4">
        <v>46179</v>
      </c>
      <c r="O15" s="4">
        <v>46182</v>
      </c>
      <c r="P15" s="3" t="s">
        <v>60</v>
      </c>
      <c r="Q15" s="3" t="s">
        <v>185</v>
      </c>
      <c r="R15" s="3" t="s">
        <v>186</v>
      </c>
      <c r="S15" s="3" t="s">
        <v>187</v>
      </c>
      <c r="T15" s="3" t="s">
        <v>188</v>
      </c>
      <c r="U15" s="3" t="s">
        <v>189</v>
      </c>
      <c r="V15" s="3" t="s">
        <v>66</v>
      </c>
    </row>
    <row r="16" spans="1:22" ht="114">
      <c r="A16" s="3" t="s">
        <v>190</v>
      </c>
      <c r="B16" s="3" t="s">
        <v>191</v>
      </c>
      <c r="C16" s="3" t="s">
        <v>53</v>
      </c>
      <c r="D16" s="3"/>
      <c r="E16" s="3" t="s">
        <v>54</v>
      </c>
      <c r="F16" s="3" t="s">
        <v>55</v>
      </c>
      <c r="G16" s="3" t="s">
        <v>154</v>
      </c>
      <c r="H16" s="3" t="s">
        <v>155</v>
      </c>
      <c r="I16" s="3" t="s">
        <v>17</v>
      </c>
      <c r="J16" s="3" t="s">
        <v>15</v>
      </c>
      <c r="K16" s="3" t="s">
        <v>3</v>
      </c>
      <c r="L16" s="3" t="s">
        <v>58</v>
      </c>
      <c r="M16" s="3" t="s">
        <v>59</v>
      </c>
      <c r="N16" s="4">
        <v>46179</v>
      </c>
      <c r="O16" s="4">
        <v>46182</v>
      </c>
      <c r="P16" s="3" t="s">
        <v>60</v>
      </c>
      <c r="Q16" s="3" t="s">
        <v>192</v>
      </c>
      <c r="R16" s="3" t="s">
        <v>193</v>
      </c>
      <c r="S16" s="3" t="s">
        <v>194</v>
      </c>
      <c r="T16" s="3" t="s">
        <v>195</v>
      </c>
      <c r="U16" s="3" t="s">
        <v>196</v>
      </c>
      <c r="V16" s="3" t="s">
        <v>66</v>
      </c>
    </row>
    <row r="17" spans="1:22" ht="114">
      <c r="A17" s="3" t="s">
        <v>197</v>
      </c>
      <c r="B17" s="3" t="s">
        <v>198</v>
      </c>
      <c r="C17" s="3" t="s">
        <v>199</v>
      </c>
      <c r="D17" s="3"/>
      <c r="E17" s="3" t="s">
        <v>200</v>
      </c>
      <c r="F17" s="3" t="s">
        <v>201</v>
      </c>
      <c r="G17" s="3" t="s">
        <v>154</v>
      </c>
      <c r="H17" s="3" t="s">
        <v>155</v>
      </c>
      <c r="I17" s="3" t="s">
        <v>15</v>
      </c>
      <c r="J17" s="3" t="s">
        <v>15</v>
      </c>
      <c r="K17" s="3" t="s">
        <v>3</v>
      </c>
      <c r="L17" s="3" t="s">
        <v>58</v>
      </c>
      <c r="M17" s="3" t="s">
        <v>59</v>
      </c>
      <c r="N17" s="4">
        <v>46179</v>
      </c>
      <c r="O17" s="4">
        <v>46182</v>
      </c>
      <c r="P17" s="3" t="s">
        <v>60</v>
      </c>
      <c r="Q17" s="3" t="s">
        <v>202</v>
      </c>
      <c r="R17" s="3" t="s">
        <v>203</v>
      </c>
      <c r="S17" s="3" t="s">
        <v>204</v>
      </c>
      <c r="T17" s="3" t="s">
        <v>205</v>
      </c>
      <c r="U17" s="3" t="s">
        <v>206</v>
      </c>
      <c r="V17" s="3" t="s">
        <v>66</v>
      </c>
    </row>
    <row r="18" spans="1:22" ht="99.75">
      <c r="A18" s="3" t="s">
        <v>207</v>
      </c>
      <c r="B18" s="3" t="s">
        <v>208</v>
      </c>
      <c r="C18" s="3" t="s">
        <v>209</v>
      </c>
      <c r="D18" s="3"/>
      <c r="E18" s="3" t="s">
        <v>209</v>
      </c>
      <c r="F18" s="3" t="s">
        <v>210</v>
      </c>
      <c r="G18" s="3" t="s">
        <v>97</v>
      </c>
      <c r="H18" s="3" t="s">
        <v>97</v>
      </c>
      <c r="I18" s="3" t="s">
        <v>17</v>
      </c>
      <c r="J18" s="3" t="s">
        <v>17</v>
      </c>
      <c r="K18" s="3" t="s">
        <v>3</v>
      </c>
      <c r="L18" s="3" t="s">
        <v>58</v>
      </c>
      <c r="M18" s="3" t="s">
        <v>59</v>
      </c>
      <c r="N18" s="4">
        <v>46179</v>
      </c>
      <c r="O18" s="4">
        <v>46186</v>
      </c>
      <c r="P18" s="3" t="s">
        <v>60</v>
      </c>
      <c r="Q18" s="3" t="s">
        <v>211</v>
      </c>
      <c r="R18" s="3" t="s">
        <v>212</v>
      </c>
      <c r="S18" s="3" t="s">
        <v>213</v>
      </c>
      <c r="T18" s="3" t="s">
        <v>214</v>
      </c>
      <c r="U18" s="3" t="s">
        <v>215</v>
      </c>
      <c r="V18" s="3" t="s">
        <v>66</v>
      </c>
    </row>
    <row r="19" spans="1:22" ht="99.75">
      <c r="A19" s="3" t="s">
        <v>216</v>
      </c>
      <c r="B19" s="3" t="s">
        <v>217</v>
      </c>
      <c r="C19" s="3" t="s">
        <v>209</v>
      </c>
      <c r="D19" s="3"/>
      <c r="E19" s="3" t="s">
        <v>209</v>
      </c>
      <c r="F19" s="3" t="s">
        <v>210</v>
      </c>
      <c r="G19" s="3" t="s">
        <v>176</v>
      </c>
      <c r="H19" s="3" t="s">
        <v>177</v>
      </c>
      <c r="I19" s="3" t="s">
        <v>17</v>
      </c>
      <c r="J19" s="3" t="s">
        <v>17</v>
      </c>
      <c r="K19" s="3" t="s">
        <v>3</v>
      </c>
      <c r="L19" s="3" t="s">
        <v>58</v>
      </c>
      <c r="M19" s="3" t="s">
        <v>59</v>
      </c>
      <c r="N19" s="4">
        <v>46179</v>
      </c>
      <c r="O19" s="4">
        <v>46186</v>
      </c>
      <c r="P19" s="3" t="s">
        <v>60</v>
      </c>
      <c r="Q19" s="3" t="s">
        <v>218</v>
      </c>
      <c r="R19" s="3" t="s">
        <v>219</v>
      </c>
      <c r="S19" s="3" t="s">
        <v>220</v>
      </c>
      <c r="T19" s="3" t="s">
        <v>221</v>
      </c>
      <c r="U19" s="3" t="s">
        <v>222</v>
      </c>
      <c r="V19" s="3" t="s">
        <v>66</v>
      </c>
    </row>
    <row r="20" spans="1:22" ht="99.75">
      <c r="A20" s="3" t="s">
        <v>223</v>
      </c>
      <c r="B20" s="3" t="s">
        <v>224</v>
      </c>
      <c r="C20" s="3" t="s">
        <v>225</v>
      </c>
      <c r="D20" s="3"/>
      <c r="E20" s="3" t="s">
        <v>226</v>
      </c>
      <c r="F20" s="3" t="s">
        <v>227</v>
      </c>
      <c r="G20" s="3" t="s">
        <v>56</v>
      </c>
      <c r="H20" s="3" t="s">
        <v>7</v>
      </c>
      <c r="I20" s="3" t="s">
        <v>15</v>
      </c>
      <c r="J20" s="3" t="s">
        <v>15</v>
      </c>
      <c r="K20" s="3" t="s">
        <v>3</v>
      </c>
      <c r="L20" s="3" t="s">
        <v>58</v>
      </c>
      <c r="M20" s="3" t="s">
        <v>59</v>
      </c>
      <c r="N20" s="4">
        <v>46179</v>
      </c>
      <c r="O20" s="4">
        <v>46182</v>
      </c>
      <c r="P20" s="3" t="s">
        <v>60</v>
      </c>
      <c r="Q20" s="3" t="s">
        <v>228</v>
      </c>
      <c r="R20" s="3" t="s">
        <v>229</v>
      </c>
      <c r="S20" s="3" t="s">
        <v>230</v>
      </c>
      <c r="T20" s="3" t="s">
        <v>231</v>
      </c>
      <c r="U20" s="3" t="s">
        <v>232</v>
      </c>
      <c r="V20" s="3" t="s">
        <v>66</v>
      </c>
    </row>
    <row r="21" spans="1:22" ht="114">
      <c r="A21" s="3" t="s">
        <v>233</v>
      </c>
      <c r="B21" s="3" t="s">
        <v>234</v>
      </c>
      <c r="C21" s="3" t="s">
        <v>225</v>
      </c>
      <c r="D21" s="3"/>
      <c r="E21" s="3" t="s">
        <v>226</v>
      </c>
      <c r="F21" s="3" t="s">
        <v>227</v>
      </c>
      <c r="G21" s="3" t="s">
        <v>235</v>
      </c>
      <c r="H21" s="3" t="s">
        <v>235</v>
      </c>
      <c r="I21" s="3" t="s">
        <v>15</v>
      </c>
      <c r="J21" s="3" t="s">
        <v>15</v>
      </c>
      <c r="K21" s="3" t="s">
        <v>3</v>
      </c>
      <c r="L21" s="3" t="s">
        <v>58</v>
      </c>
      <c r="M21" s="3" t="s">
        <v>59</v>
      </c>
      <c r="N21" s="4">
        <v>46179</v>
      </c>
      <c r="O21" s="4">
        <v>46182</v>
      </c>
      <c r="P21" s="3" t="s">
        <v>60</v>
      </c>
      <c r="Q21" s="3" t="s">
        <v>236</v>
      </c>
      <c r="R21" s="3" t="s">
        <v>237</v>
      </c>
      <c r="S21" s="3" t="s">
        <v>238</v>
      </c>
      <c r="T21" s="3" t="s">
        <v>239</v>
      </c>
      <c r="U21" s="3" t="s">
        <v>240</v>
      </c>
      <c r="V21" s="3" t="s">
        <v>66</v>
      </c>
    </row>
    <row r="22" spans="1:22" ht="114">
      <c r="A22" s="3" t="s">
        <v>241</v>
      </c>
      <c r="B22" s="3" t="s">
        <v>242</v>
      </c>
      <c r="C22" s="3" t="s">
        <v>243</v>
      </c>
      <c r="D22" s="3"/>
      <c r="E22" s="3" t="s">
        <v>244</v>
      </c>
      <c r="F22" s="3" t="s">
        <v>245</v>
      </c>
      <c r="G22" s="3" t="s">
        <v>154</v>
      </c>
      <c r="H22" s="3" t="s">
        <v>155</v>
      </c>
      <c r="I22" s="3" t="s">
        <v>17</v>
      </c>
      <c r="J22" s="3" t="s">
        <v>17</v>
      </c>
      <c r="K22" s="3" t="s">
        <v>3</v>
      </c>
      <c r="L22" s="3" t="s">
        <v>58</v>
      </c>
      <c r="M22" s="3" t="s">
        <v>59</v>
      </c>
      <c r="N22" s="4">
        <v>46179</v>
      </c>
      <c r="O22" s="4">
        <v>46186</v>
      </c>
      <c r="P22" s="3" t="s">
        <v>60</v>
      </c>
      <c r="Q22" s="3" t="s">
        <v>246</v>
      </c>
      <c r="R22" s="3" t="s">
        <v>247</v>
      </c>
      <c r="S22" s="3" t="s">
        <v>248</v>
      </c>
      <c r="T22" s="3" t="s">
        <v>249</v>
      </c>
      <c r="U22" s="3" t="s">
        <v>250</v>
      </c>
      <c r="V22" s="3" t="s">
        <v>66</v>
      </c>
    </row>
    <row r="23" spans="1:22" ht="85.5">
      <c r="A23" s="3" t="s">
        <v>251</v>
      </c>
      <c r="B23" s="3" t="s">
        <v>252</v>
      </c>
      <c r="C23" s="3" t="s">
        <v>253</v>
      </c>
      <c r="D23" s="3"/>
      <c r="E23" s="3" t="s">
        <v>254</v>
      </c>
      <c r="F23" s="3" t="s">
        <v>255</v>
      </c>
      <c r="G23" s="3" t="s">
        <v>56</v>
      </c>
      <c r="H23" s="3" t="s">
        <v>7</v>
      </c>
      <c r="I23" s="3" t="s">
        <v>15</v>
      </c>
      <c r="J23" s="3" t="s">
        <v>15</v>
      </c>
      <c r="K23" s="3" t="s">
        <v>3</v>
      </c>
      <c r="L23" s="3" t="s">
        <v>58</v>
      </c>
      <c r="M23" s="3" t="s">
        <v>59</v>
      </c>
      <c r="N23" s="4">
        <v>46179</v>
      </c>
      <c r="O23" s="4">
        <v>46182</v>
      </c>
      <c r="P23" s="3" t="s">
        <v>60</v>
      </c>
      <c r="Q23" s="3" t="s">
        <v>256</v>
      </c>
      <c r="R23" s="3" t="s">
        <v>257</v>
      </c>
      <c r="S23" s="3" t="s">
        <v>258</v>
      </c>
      <c r="T23" s="3" t="s">
        <v>259</v>
      </c>
      <c r="U23" s="3" t="s">
        <v>260</v>
      </c>
      <c r="V23" s="3" t="s">
        <v>66</v>
      </c>
    </row>
    <row r="24" spans="1:22">
      <c r="N24" s="5"/>
      <c r="O24" s="5"/>
    </row>
    <row r="25" spans="1:22">
      <c r="N25" s="5"/>
      <c r="O25" s="5"/>
    </row>
    <row r="26" spans="1:22">
      <c r="N26" s="5"/>
      <c r="O26" s="5"/>
    </row>
    <row r="27" spans="1:22">
      <c r="N27" s="5"/>
      <c r="O27" s="5"/>
    </row>
    <row r="28" spans="1:22">
      <c r="N28" s="5"/>
      <c r="O28" s="5"/>
    </row>
    <row r="29" spans="1:22">
      <c r="N29" s="5"/>
      <c r="O29" s="5"/>
    </row>
    <row r="30" spans="1:22">
      <c r="N30" s="5"/>
      <c r="O30" s="5"/>
    </row>
    <row r="31" spans="1:22">
      <c r="N31" s="5"/>
      <c r="O31" s="5"/>
    </row>
    <row r="32" spans="1:22">
      <c r="N32" s="5"/>
      <c r="O32" s="5"/>
    </row>
    <row r="33" spans="14:15">
      <c r="N33" s="5"/>
      <c r="O33" s="5"/>
    </row>
    <row r="34" spans="14:15">
      <c r="N34" s="5"/>
      <c r="O34" s="5"/>
    </row>
    <row r="35" spans="14:15">
      <c r="N35" s="5"/>
      <c r="O35" s="5"/>
    </row>
    <row r="36" spans="14:15">
      <c r="N36" s="5"/>
      <c r="O36" s="5"/>
    </row>
    <row r="37" spans="14:15">
      <c r="N37" s="5"/>
      <c r="O37" s="5"/>
    </row>
    <row r="38" spans="14:15">
      <c r="N38" s="5"/>
      <c r="O38" s="5"/>
    </row>
    <row r="39" spans="14:15">
      <c r="N39" s="5"/>
      <c r="O39" s="5"/>
    </row>
    <row r="40" spans="14:15">
      <c r="N40" s="5"/>
      <c r="O40" s="5"/>
    </row>
    <row r="41" spans="14:15">
      <c r="N41" s="5"/>
      <c r="O41" s="5"/>
    </row>
    <row r="42" spans="14:15">
      <c r="N42" s="5"/>
      <c r="O42" s="5"/>
    </row>
    <row r="43" spans="14:15">
      <c r="N43" s="5"/>
      <c r="O43" s="5"/>
    </row>
    <row r="44" spans="14:15">
      <c r="N44" s="5"/>
      <c r="O44" s="5"/>
    </row>
    <row r="45" spans="14:15">
      <c r="N45" s="5"/>
      <c r="O45" s="5"/>
    </row>
    <row r="46" spans="14:15">
      <c r="N46" s="5"/>
      <c r="O46" s="5"/>
    </row>
    <row r="47" spans="14:15">
      <c r="N47" s="5"/>
      <c r="O47" s="5"/>
    </row>
    <row r="48" spans="14:15">
      <c r="N48" s="5"/>
      <c r="O48" s="5"/>
    </row>
    <row r="49" spans="14:15">
      <c r="N49" s="5"/>
      <c r="O49" s="5"/>
    </row>
    <row r="50" spans="14:15">
      <c r="N50" s="5"/>
      <c r="O50" s="5"/>
    </row>
    <row r="51" spans="14:15">
      <c r="N51" s="5"/>
      <c r="O51" s="5"/>
    </row>
    <row r="52" spans="14:15">
      <c r="N52" s="5"/>
      <c r="O52" s="5"/>
    </row>
    <row r="53" spans="14:15">
      <c r="N53" s="5"/>
      <c r="O53" s="5"/>
    </row>
    <row r="54" spans="14:15">
      <c r="N54" s="5"/>
      <c r="O54" s="5"/>
    </row>
    <row r="55" spans="14:15">
      <c r="N55" s="5"/>
      <c r="O55" s="5"/>
    </row>
    <row r="56" spans="14:15">
      <c r="N56" s="5"/>
      <c r="O56" s="5"/>
    </row>
    <row r="57" spans="14:15">
      <c r="N57" s="5"/>
      <c r="O57" s="5"/>
    </row>
    <row r="58" spans="14:15">
      <c r="N58" s="5"/>
      <c r="O58" s="5"/>
    </row>
    <row r="59" spans="14:15">
      <c r="N59" s="5"/>
      <c r="O59" s="5"/>
    </row>
    <row r="60" spans="14:15">
      <c r="N60" s="5"/>
      <c r="O60" s="5"/>
    </row>
    <row r="61" spans="14:15">
      <c r="N61" s="5"/>
      <c r="O61" s="5"/>
    </row>
    <row r="62" spans="14:15">
      <c r="N62" s="5"/>
      <c r="O62" s="5"/>
    </row>
    <row r="63" spans="14:15">
      <c r="N63" s="5"/>
      <c r="O63" s="5"/>
    </row>
    <row r="64" spans="14:15">
      <c r="N64" s="5"/>
      <c r="O64" s="5"/>
    </row>
    <row r="65" spans="14:15">
      <c r="N65" s="5"/>
      <c r="O65" s="5"/>
    </row>
    <row r="66" spans="14:15">
      <c r="N66" s="5"/>
      <c r="O66" s="5"/>
    </row>
    <row r="67" spans="14:15">
      <c r="N67" s="5"/>
      <c r="O67" s="5"/>
    </row>
    <row r="68" spans="14:15">
      <c r="N68" s="5"/>
      <c r="O68" s="5"/>
    </row>
    <row r="69" spans="14:15">
      <c r="N69" s="5"/>
      <c r="O69" s="5"/>
    </row>
    <row r="70" spans="14:15">
      <c r="N70" s="5"/>
      <c r="O70" s="5"/>
    </row>
    <row r="71" spans="14:15">
      <c r="N71" s="5"/>
      <c r="O71" s="5"/>
    </row>
    <row r="72" spans="14:15">
      <c r="N72" s="5"/>
      <c r="O72" s="5"/>
    </row>
    <row r="73" spans="14:15">
      <c r="N73" s="5"/>
      <c r="O73" s="5"/>
    </row>
    <row r="74" spans="14:15">
      <c r="N74" s="5"/>
      <c r="O74" s="5"/>
    </row>
    <row r="75" spans="14:15">
      <c r="N75" s="5"/>
      <c r="O75" s="5"/>
    </row>
    <row r="76" spans="14:15">
      <c r="N76" s="5"/>
      <c r="O76" s="5"/>
    </row>
    <row r="77" spans="14:15">
      <c r="N77" s="5"/>
      <c r="O77" s="5"/>
    </row>
    <row r="78" spans="14:15">
      <c r="N78" s="5"/>
      <c r="O78" s="5"/>
    </row>
    <row r="79" spans="14:15">
      <c r="N79" s="5"/>
      <c r="O79" s="5"/>
    </row>
    <row r="80" spans="14:15">
      <c r="N80" s="5"/>
      <c r="O80" s="5"/>
    </row>
    <row r="81" spans="14:15">
      <c r="N81" s="5"/>
      <c r="O81" s="5"/>
    </row>
    <row r="82" spans="14:15">
      <c r="N82" s="5"/>
      <c r="O82" s="5"/>
    </row>
    <row r="83" spans="14:15">
      <c r="N83" s="5"/>
      <c r="O83" s="5"/>
    </row>
    <row r="84" spans="14:15">
      <c r="N84" s="5"/>
      <c r="O84" s="5"/>
    </row>
    <row r="85" spans="14:15">
      <c r="N85" s="5"/>
      <c r="O85" s="5"/>
    </row>
    <row r="86" spans="14:15">
      <c r="N86" s="5"/>
      <c r="O86" s="5"/>
    </row>
    <row r="87" spans="14:15">
      <c r="N87" s="5"/>
      <c r="O87" s="5"/>
    </row>
    <row r="88" spans="14:15">
      <c r="N88" s="5"/>
      <c r="O88" s="5"/>
    </row>
    <row r="89" spans="14:15">
      <c r="N89" s="5"/>
      <c r="O89" s="5"/>
    </row>
    <row r="90" spans="14:15">
      <c r="N90" s="5"/>
      <c r="O90" s="5"/>
    </row>
    <row r="91" spans="14:15">
      <c r="N91" s="5"/>
      <c r="O91" s="5"/>
    </row>
    <row r="92" spans="14:15">
      <c r="N92" s="5"/>
      <c r="O92" s="5"/>
    </row>
    <row r="93" spans="14:15">
      <c r="N93" s="5"/>
      <c r="O93" s="5"/>
    </row>
    <row r="94" spans="14:15">
      <c r="N94" s="5"/>
      <c r="O94" s="5"/>
    </row>
    <row r="95" spans="14:15">
      <c r="N95" s="5"/>
      <c r="O95" s="5"/>
    </row>
    <row r="96" spans="14:15">
      <c r="N96" s="5"/>
      <c r="O96" s="5"/>
    </row>
    <row r="97" spans="14:15">
      <c r="N97" s="5"/>
      <c r="O97" s="5"/>
    </row>
    <row r="98" spans="14:15">
      <c r="N98" s="5"/>
      <c r="O98" s="5"/>
    </row>
    <row r="99" spans="14:15">
      <c r="N99" s="5"/>
      <c r="O99" s="5"/>
    </row>
    <row r="100" spans="14:15">
      <c r="N100" s="5"/>
      <c r="O100" s="5"/>
    </row>
  </sheetData>
  <conditionalFormatting sqref="I2:I100">
    <cfRule type="expression" dxfId="3" priority="1">
      <formula>LEFT(I2,4)="High"</formula>
    </cfRule>
    <cfRule type="expression" dxfId="2" priority="2">
      <formula>ISNUMBER(SEARCH("Medium",I2))</formula>
    </cfRule>
  </conditionalFormatting>
  <conditionalFormatting sqref="K2:K100">
    <cfRule type="expression" dxfId="1" priority="3">
      <formula>K2="Open"</formula>
    </cfRule>
    <cfRule type="expression" dxfId="0" priority="4">
      <formula>K2="Closed"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14:formula1>
            <xm:f>Lists!$A$2:$A$6</xm:f>
          </x14:formula1>
          <xm:sqref>K2:K100</xm:sqref>
        </x14:dataValidation>
        <x14:dataValidation type="list">
          <x14:formula1>
            <xm:f>Lists!$B$2:$B$5</xm:f>
          </x14:formula1>
          <xm:sqref>J2:J100</xm:sqref>
        </x14:dataValidation>
        <x14:dataValidation type="list">
          <x14:formula1>
            <xm:f>Lists!$C$2:$C$6</xm:f>
          </x14:formula1>
          <xm:sqref>I2:I100</xm:sqref>
        </x14:dataValidation>
        <x14:dataValidation type="list">
          <x14:formula1>
            <xm:f>Lists!$D$2:$D$9</xm:f>
          </x14:formula1>
          <xm:sqref>G2:G100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showGridLines="0" workbookViewId="0">
      <selection activeCell="C33" sqref="C33"/>
    </sheetView>
  </sheetViews>
  <sheetFormatPr defaultRowHeight="14.25"/>
  <cols>
    <col min="1" max="5" width="30" customWidth="1"/>
    <col min="7" max="8" width="20" customWidth="1"/>
  </cols>
  <sheetData>
    <row r="1" spans="1:8" ht="20.25">
      <c r="A1" s="13" t="s">
        <v>261</v>
      </c>
      <c r="B1" s="9"/>
      <c r="C1" s="9"/>
      <c r="D1" s="9"/>
    </row>
    <row r="3" spans="1:8" ht="15">
      <c r="A3" s="6" t="s">
        <v>11</v>
      </c>
      <c r="B3" s="6" t="s">
        <v>12</v>
      </c>
      <c r="D3" s="6" t="s">
        <v>13</v>
      </c>
      <c r="E3" s="6" t="s">
        <v>12</v>
      </c>
      <c r="G3" s="6" t="s">
        <v>14</v>
      </c>
      <c r="H3" s="6" t="s">
        <v>12</v>
      </c>
    </row>
    <row r="4" spans="1:8">
      <c r="A4" t="s">
        <v>15</v>
      </c>
      <c r="B4">
        <f>COUNTIF('Bug Tracker'!$I$2:$I$100,"High")</f>
        <v>14</v>
      </c>
      <c r="D4" t="s">
        <v>15</v>
      </c>
      <c r="E4">
        <f>COUNTIF('Bug Tracker'!$J$2:$J$100,"High")</f>
        <v>18</v>
      </c>
      <c r="G4" t="s">
        <v>3</v>
      </c>
      <c r="H4">
        <f>COUNTIF('Bug Tracker'!$K$2:$K$100,"Open")</f>
        <v>22</v>
      </c>
    </row>
    <row r="5" spans="1:8">
      <c r="A5" t="s">
        <v>16</v>
      </c>
      <c r="B5">
        <f>COUNTIF('Bug Tracker'!$I$2:$I$100,"Medium / High")</f>
        <v>3</v>
      </c>
      <c r="D5" t="s">
        <v>17</v>
      </c>
      <c r="E5">
        <f>COUNTIF('Bug Tracker'!$J$2:$J$100,"Medium")</f>
        <v>4</v>
      </c>
      <c r="G5" t="s">
        <v>18</v>
      </c>
      <c r="H5">
        <f>COUNTIF('Bug Tracker'!$K$2:$K$100,"In Progress")</f>
        <v>0</v>
      </c>
    </row>
    <row r="6" spans="1:8">
      <c r="A6" t="s">
        <v>17</v>
      </c>
      <c r="B6">
        <f>COUNTIF('Bug Tracker'!$I$2:$I$100,"Medium")</f>
        <v>4</v>
      </c>
      <c r="D6" t="s">
        <v>19</v>
      </c>
      <c r="E6">
        <f>COUNTIF('Bug Tracker'!$J$2:$J$100,"Low")</f>
        <v>0</v>
      </c>
      <c r="G6" t="s">
        <v>20</v>
      </c>
      <c r="H6">
        <f>COUNTIF('Bug Tracker'!$K$2:$K$100,"Blocked")</f>
        <v>0</v>
      </c>
    </row>
    <row r="7" spans="1:8">
      <c r="A7" t="s">
        <v>21</v>
      </c>
      <c r="B7">
        <f>COUNTIF('Bug Tracker'!$I$2:$I$100,"Low / Medium")</f>
        <v>1</v>
      </c>
      <c r="D7" t="s">
        <v>22</v>
      </c>
      <c r="E7">
        <f>COUNTIF('Bug Tracker'!$J$2:$J$100,"Critical")</f>
        <v>0</v>
      </c>
      <c r="G7" t="s">
        <v>23</v>
      </c>
      <c r="H7">
        <f>COUNTIF('Bug Tracker'!$K$2:$K$100,"Ready for Retest")</f>
        <v>0</v>
      </c>
    </row>
    <row r="8" spans="1:8">
      <c r="A8" t="s">
        <v>19</v>
      </c>
      <c r="B8">
        <f>COUNTIF('Bug Tracker'!$I$2:$I$100,"Low")</f>
        <v>0</v>
      </c>
      <c r="G8" t="s">
        <v>24</v>
      </c>
      <c r="H8">
        <f>COUNTIF('Bug Tracker'!$K$2:$K$100,"Closed")</f>
        <v>0</v>
      </c>
    </row>
    <row r="11" spans="1:8" ht="15">
      <c r="A11" s="6" t="s">
        <v>39</v>
      </c>
      <c r="B11" s="6" t="s">
        <v>12</v>
      </c>
      <c r="D11" s="6" t="s">
        <v>34</v>
      </c>
      <c r="E11" s="6" t="s">
        <v>12</v>
      </c>
    </row>
    <row r="12" spans="1:8">
      <c r="A12" t="s">
        <v>69</v>
      </c>
      <c r="B12">
        <f>COUNTIF('Bug Tracker'!$H$2:$H$100,"Add/Save Error")</f>
        <v>2</v>
      </c>
      <c r="D12" t="s">
        <v>53</v>
      </c>
      <c r="E12">
        <v>15</v>
      </c>
    </row>
    <row r="13" spans="1:8">
      <c r="A13" t="s">
        <v>57</v>
      </c>
      <c r="B13">
        <f>COUNTIF('Bug Tracker'!$H$2:$H$100,"Data Display/Refresh")</f>
        <v>4</v>
      </c>
      <c r="D13" t="s">
        <v>209</v>
      </c>
      <c r="E13">
        <v>2</v>
      </c>
    </row>
    <row r="14" spans="1:8">
      <c r="A14" t="s">
        <v>108</v>
      </c>
      <c r="B14">
        <f>COUNTIF('Bug Tracker'!$H$2:$H$100,"Delete")</f>
        <v>1</v>
      </c>
      <c r="D14" t="s">
        <v>225</v>
      </c>
      <c r="E14">
        <v>2</v>
      </c>
    </row>
    <row r="15" spans="1:8">
      <c r="A15" t="s">
        <v>177</v>
      </c>
      <c r="B15">
        <f>COUNTIF('Bug Tracker'!$H$2:$H$100,"Dropdown/Localization")</f>
        <v>2</v>
      </c>
      <c r="D15" t="s">
        <v>199</v>
      </c>
      <c r="E15">
        <v>1</v>
      </c>
    </row>
    <row r="16" spans="1:8">
      <c r="A16" t="s">
        <v>7</v>
      </c>
      <c r="B16">
        <f>COUNTIF('Bug Tracker'!$H$2:$H$100,"Missing Field/Column")</f>
        <v>4</v>
      </c>
      <c r="D16" t="s">
        <v>243</v>
      </c>
      <c r="E16">
        <v>1</v>
      </c>
    </row>
    <row r="17" spans="1:5">
      <c r="A17" t="s">
        <v>155</v>
      </c>
      <c r="B17">
        <f>COUNTIF('Bug Tracker'!$H$2:$H$100,"Report/PDF")</f>
        <v>5</v>
      </c>
      <c r="D17" t="s">
        <v>253</v>
      </c>
      <c r="E17">
        <v>1</v>
      </c>
    </row>
    <row r="18" spans="1:5">
      <c r="A18" t="s">
        <v>126</v>
      </c>
      <c r="B18">
        <f>COUNTIF('Bug Tracker'!$H$2:$H$100,"Status/Toggle")</f>
        <v>1</v>
      </c>
    </row>
    <row r="19" spans="1:5">
      <c r="A19" t="s">
        <v>97</v>
      </c>
      <c r="B19">
        <f>COUNTIF('Bug Tracker'!$H$2:$H$100,"UI/UX")</f>
        <v>2</v>
      </c>
    </row>
    <row r="20" spans="1:5">
      <c r="A20" t="s">
        <v>235</v>
      </c>
      <c r="B20">
        <f>COUNTIF('Bug Tracker'!$H$2:$H$100,"Validation")</f>
        <v>1</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2"/>
  <sheetViews>
    <sheetView showGridLines="0" topLeftCell="A114" workbookViewId="0">
      <selection activeCell="G121" sqref="G121"/>
    </sheetView>
  </sheetViews>
  <sheetFormatPr defaultRowHeight="14.25"/>
  <cols>
    <col min="1" max="1" width="22" customWidth="1"/>
    <col min="2" max="2" width="100" customWidth="1"/>
  </cols>
  <sheetData>
    <row r="1" spans="1:4" ht="15">
      <c r="A1" s="14" t="s">
        <v>262</v>
      </c>
      <c r="B1" s="14" t="s">
        <v>262</v>
      </c>
      <c r="C1" s="14" t="s">
        <v>262</v>
      </c>
      <c r="D1" s="14" t="s">
        <v>262</v>
      </c>
    </row>
    <row r="2" spans="1:4" ht="15">
      <c r="A2" s="7" t="s">
        <v>36</v>
      </c>
      <c r="B2" s="1" t="s">
        <v>54</v>
      </c>
    </row>
    <row r="3" spans="1:4" ht="15">
      <c r="A3" s="7" t="s">
        <v>263</v>
      </c>
      <c r="B3" s="1" t="s">
        <v>264</v>
      </c>
    </row>
    <row r="4" spans="1:4" ht="42.75">
      <c r="A4" s="7" t="s">
        <v>45</v>
      </c>
      <c r="B4" s="1" t="s">
        <v>61</v>
      </c>
    </row>
    <row r="5" spans="1:4" ht="42.75">
      <c r="A5" s="7" t="s">
        <v>46</v>
      </c>
      <c r="B5" s="1" t="s">
        <v>62</v>
      </c>
    </row>
    <row r="6" spans="1:4" ht="57">
      <c r="A6" s="7" t="s">
        <v>265</v>
      </c>
      <c r="B6" s="1" t="s">
        <v>63</v>
      </c>
    </row>
    <row r="7" spans="1:4" ht="15">
      <c r="A7" s="14" t="s">
        <v>266</v>
      </c>
      <c r="B7" s="14" t="s">
        <v>266</v>
      </c>
      <c r="C7" s="14" t="s">
        <v>266</v>
      </c>
      <c r="D7" s="14" t="s">
        <v>266</v>
      </c>
    </row>
    <row r="8" spans="1:4" ht="15">
      <c r="A8" s="7" t="s">
        <v>36</v>
      </c>
      <c r="B8" s="1" t="s">
        <v>54</v>
      </c>
    </row>
    <row r="9" spans="1:4" ht="15">
      <c r="A9" s="7" t="s">
        <v>263</v>
      </c>
      <c r="B9" s="1" t="s">
        <v>264</v>
      </c>
    </row>
    <row r="10" spans="1:4" ht="28.5">
      <c r="A10" s="7" t="s">
        <v>45</v>
      </c>
      <c r="B10" s="1" t="s">
        <v>70</v>
      </c>
    </row>
    <row r="11" spans="1:4" ht="28.5">
      <c r="A11" s="7" t="s">
        <v>46</v>
      </c>
      <c r="B11" s="1" t="s">
        <v>71</v>
      </c>
    </row>
    <row r="12" spans="1:4" ht="57">
      <c r="A12" s="7" t="s">
        <v>265</v>
      </c>
      <c r="B12" s="1" t="s">
        <v>72</v>
      </c>
    </row>
    <row r="13" spans="1:4" ht="15">
      <c r="A13" s="14" t="s">
        <v>267</v>
      </c>
      <c r="B13" s="14" t="s">
        <v>267</v>
      </c>
      <c r="C13" s="14" t="s">
        <v>267</v>
      </c>
      <c r="D13" s="14" t="s">
        <v>267</v>
      </c>
    </row>
    <row r="14" spans="1:4" ht="15">
      <c r="A14" s="7" t="s">
        <v>36</v>
      </c>
      <c r="B14" s="1" t="s">
        <v>78</v>
      </c>
    </row>
    <row r="15" spans="1:4" ht="15">
      <c r="A15" s="7" t="s">
        <v>263</v>
      </c>
      <c r="B15" s="1" t="s">
        <v>264</v>
      </c>
    </row>
    <row r="16" spans="1:4" ht="28.5">
      <c r="A16" s="7" t="s">
        <v>45</v>
      </c>
      <c r="B16" s="1" t="s">
        <v>80</v>
      </c>
    </row>
    <row r="17" spans="1:4" ht="28.5">
      <c r="A17" s="7" t="s">
        <v>46</v>
      </c>
      <c r="B17" s="1" t="s">
        <v>81</v>
      </c>
    </row>
    <row r="18" spans="1:4" ht="57">
      <c r="A18" s="7" t="s">
        <v>265</v>
      </c>
      <c r="B18" s="1" t="s">
        <v>82</v>
      </c>
    </row>
    <row r="19" spans="1:4" ht="15">
      <c r="A19" s="14" t="s">
        <v>268</v>
      </c>
      <c r="B19" s="14" t="s">
        <v>268</v>
      </c>
      <c r="C19" s="14" t="s">
        <v>268</v>
      </c>
      <c r="D19" s="14" t="s">
        <v>268</v>
      </c>
    </row>
    <row r="20" spans="1:4" ht="15">
      <c r="A20" s="7" t="s">
        <v>36</v>
      </c>
      <c r="B20" s="1" t="s">
        <v>88</v>
      </c>
    </row>
    <row r="21" spans="1:4" ht="15">
      <c r="A21" s="7" t="s">
        <v>263</v>
      </c>
      <c r="B21" s="1" t="s">
        <v>269</v>
      </c>
    </row>
    <row r="22" spans="1:4" ht="28.5">
      <c r="A22" s="7" t="s">
        <v>45</v>
      </c>
      <c r="B22" s="1" t="s">
        <v>90</v>
      </c>
    </row>
    <row r="23" spans="1:4" ht="28.5">
      <c r="A23" s="7" t="s">
        <v>46</v>
      </c>
      <c r="B23" s="1" t="s">
        <v>91</v>
      </c>
    </row>
    <row r="24" spans="1:4" ht="57">
      <c r="A24" s="7" t="s">
        <v>265</v>
      </c>
      <c r="B24" s="1" t="s">
        <v>92</v>
      </c>
    </row>
    <row r="25" spans="1:4" ht="15">
      <c r="A25" s="14" t="s">
        <v>270</v>
      </c>
      <c r="B25" s="14" t="s">
        <v>270</v>
      </c>
      <c r="C25" s="14" t="s">
        <v>270</v>
      </c>
      <c r="D25" s="14" t="s">
        <v>270</v>
      </c>
    </row>
    <row r="26" spans="1:4" ht="15">
      <c r="A26" s="7" t="s">
        <v>36</v>
      </c>
      <c r="B26" s="1" t="s">
        <v>88</v>
      </c>
    </row>
    <row r="27" spans="1:4" ht="15">
      <c r="A27" s="7" t="s">
        <v>263</v>
      </c>
      <c r="B27" s="1" t="s">
        <v>271</v>
      </c>
    </row>
    <row r="28" spans="1:4" ht="28.5">
      <c r="A28" s="7" t="s">
        <v>45</v>
      </c>
      <c r="B28" s="1" t="s">
        <v>98</v>
      </c>
    </row>
    <row r="29" spans="1:4" ht="42.75">
      <c r="A29" s="7" t="s">
        <v>46</v>
      </c>
      <c r="B29" s="1" t="s">
        <v>99</v>
      </c>
    </row>
    <row r="30" spans="1:4" ht="42.75">
      <c r="A30" s="7" t="s">
        <v>265</v>
      </c>
      <c r="B30" s="1" t="s">
        <v>100</v>
      </c>
    </row>
    <row r="31" spans="1:4" ht="15">
      <c r="A31" s="14" t="s">
        <v>272</v>
      </c>
      <c r="B31" s="14" t="s">
        <v>272</v>
      </c>
      <c r="C31" s="14" t="s">
        <v>272</v>
      </c>
      <c r="D31" s="14" t="s">
        <v>272</v>
      </c>
    </row>
    <row r="32" spans="1:4" ht="15">
      <c r="A32" s="7" t="s">
        <v>36</v>
      </c>
      <c r="B32" s="1" t="s">
        <v>106</v>
      </c>
    </row>
    <row r="33" spans="1:4" ht="15">
      <c r="A33" s="7" t="s">
        <v>263</v>
      </c>
      <c r="B33" s="1" t="s">
        <v>269</v>
      </c>
    </row>
    <row r="34" spans="1:4" ht="42.75">
      <c r="A34" s="7" t="s">
        <v>45</v>
      </c>
      <c r="B34" s="1" t="s">
        <v>109</v>
      </c>
    </row>
    <row r="35" spans="1:4" ht="42.75">
      <c r="A35" s="7" t="s">
        <v>46</v>
      </c>
      <c r="B35" s="1" t="s">
        <v>110</v>
      </c>
    </row>
    <row r="36" spans="1:4" ht="42.75">
      <c r="A36" s="7" t="s">
        <v>265</v>
      </c>
      <c r="B36" s="1" t="s">
        <v>111</v>
      </c>
    </row>
    <row r="37" spans="1:4" ht="15">
      <c r="A37" s="14" t="s">
        <v>273</v>
      </c>
      <c r="B37" s="14" t="s">
        <v>273</v>
      </c>
      <c r="C37" s="14" t="s">
        <v>273</v>
      </c>
      <c r="D37" s="14" t="s">
        <v>273</v>
      </c>
    </row>
    <row r="38" spans="1:4" ht="15">
      <c r="A38" s="7" t="s">
        <v>36</v>
      </c>
      <c r="B38" s="1" t="s">
        <v>106</v>
      </c>
    </row>
    <row r="39" spans="1:4" ht="15">
      <c r="A39" s="7" t="s">
        <v>263</v>
      </c>
      <c r="B39" s="1" t="s">
        <v>264</v>
      </c>
    </row>
    <row r="40" spans="1:4" ht="28.5">
      <c r="A40" s="7" t="s">
        <v>45</v>
      </c>
      <c r="B40" s="1" t="s">
        <v>116</v>
      </c>
    </row>
    <row r="41" spans="1:4" ht="42.75">
      <c r="A41" s="7" t="s">
        <v>46</v>
      </c>
      <c r="B41" s="1" t="s">
        <v>117</v>
      </c>
    </row>
    <row r="42" spans="1:4" ht="42.75">
      <c r="A42" s="7" t="s">
        <v>265</v>
      </c>
      <c r="B42" s="1" t="s">
        <v>118</v>
      </c>
    </row>
    <row r="43" spans="1:4" ht="15">
      <c r="A43" s="14" t="s">
        <v>274</v>
      </c>
      <c r="B43" s="14" t="s">
        <v>274</v>
      </c>
      <c r="C43" s="14" t="s">
        <v>274</v>
      </c>
      <c r="D43" s="14" t="s">
        <v>274</v>
      </c>
    </row>
    <row r="44" spans="1:4" ht="15">
      <c r="A44" s="7" t="s">
        <v>36</v>
      </c>
      <c r="B44" s="1" t="s">
        <v>124</v>
      </c>
    </row>
    <row r="45" spans="1:4" ht="15">
      <c r="A45" s="7" t="s">
        <v>263</v>
      </c>
      <c r="B45" s="1" t="s">
        <v>264</v>
      </c>
    </row>
    <row r="46" spans="1:4" ht="28.5">
      <c r="A46" s="7" t="s">
        <v>45</v>
      </c>
      <c r="B46" s="1" t="s">
        <v>127</v>
      </c>
    </row>
    <row r="47" spans="1:4" ht="42.75">
      <c r="A47" s="7" t="s">
        <v>46</v>
      </c>
      <c r="B47" s="1" t="s">
        <v>128</v>
      </c>
    </row>
    <row r="48" spans="1:4" ht="42.75">
      <c r="A48" s="7" t="s">
        <v>265</v>
      </c>
      <c r="B48" s="1" t="s">
        <v>129</v>
      </c>
    </row>
    <row r="49" spans="1:4" ht="15">
      <c r="A49" s="14" t="s">
        <v>275</v>
      </c>
      <c r="B49" s="14" t="s">
        <v>275</v>
      </c>
      <c r="C49" s="14" t="s">
        <v>275</v>
      </c>
      <c r="D49" s="14" t="s">
        <v>275</v>
      </c>
    </row>
    <row r="50" spans="1:4" ht="15">
      <c r="A50" s="7" t="s">
        <v>36</v>
      </c>
      <c r="B50" s="1" t="s">
        <v>124</v>
      </c>
    </row>
    <row r="51" spans="1:4" ht="15">
      <c r="A51" s="7" t="s">
        <v>263</v>
      </c>
      <c r="B51" s="1" t="s">
        <v>264</v>
      </c>
    </row>
    <row r="52" spans="1:4" ht="28.5">
      <c r="A52" s="7" t="s">
        <v>45</v>
      </c>
      <c r="B52" s="1" t="s">
        <v>134</v>
      </c>
    </row>
    <row r="53" spans="1:4" ht="42.75">
      <c r="A53" s="7" t="s">
        <v>46</v>
      </c>
      <c r="B53" s="1" t="s">
        <v>135</v>
      </c>
    </row>
    <row r="54" spans="1:4" ht="42.75">
      <c r="A54" s="7" t="s">
        <v>265</v>
      </c>
      <c r="B54" s="1" t="s">
        <v>136</v>
      </c>
    </row>
    <row r="55" spans="1:4" ht="15">
      <c r="A55" s="14" t="s">
        <v>276</v>
      </c>
      <c r="B55" s="14" t="s">
        <v>276</v>
      </c>
      <c r="C55" s="14" t="s">
        <v>276</v>
      </c>
      <c r="D55" s="14" t="s">
        <v>276</v>
      </c>
    </row>
    <row r="56" spans="1:4" ht="15">
      <c r="A56" s="7" t="s">
        <v>36</v>
      </c>
      <c r="B56" s="1" t="s">
        <v>142</v>
      </c>
    </row>
    <row r="57" spans="1:4" ht="15">
      <c r="A57" s="7" t="s">
        <v>263</v>
      </c>
      <c r="B57" s="1" t="s">
        <v>264</v>
      </c>
    </row>
    <row r="58" spans="1:4" ht="42.75">
      <c r="A58" s="7" t="s">
        <v>45</v>
      </c>
      <c r="B58" s="1" t="s">
        <v>144</v>
      </c>
    </row>
    <row r="59" spans="1:4" ht="42.75">
      <c r="A59" s="7" t="s">
        <v>46</v>
      </c>
      <c r="B59" s="1" t="s">
        <v>145</v>
      </c>
    </row>
    <row r="60" spans="1:4" ht="57">
      <c r="A60" s="7" t="s">
        <v>265</v>
      </c>
      <c r="B60" s="1" t="s">
        <v>146</v>
      </c>
    </row>
    <row r="61" spans="1:4" ht="15">
      <c r="A61" s="14" t="s">
        <v>277</v>
      </c>
      <c r="B61" s="14" t="s">
        <v>277</v>
      </c>
      <c r="C61" s="14" t="s">
        <v>277</v>
      </c>
      <c r="D61" s="14" t="s">
        <v>277</v>
      </c>
    </row>
    <row r="62" spans="1:4" ht="15">
      <c r="A62" s="7" t="s">
        <v>36</v>
      </c>
      <c r="B62" s="1" t="s">
        <v>152</v>
      </c>
    </row>
    <row r="63" spans="1:4" ht="15">
      <c r="A63" s="7" t="s">
        <v>263</v>
      </c>
      <c r="B63" s="1" t="s">
        <v>264</v>
      </c>
    </row>
    <row r="64" spans="1:4" ht="42.75">
      <c r="A64" s="7" t="s">
        <v>45</v>
      </c>
      <c r="B64" s="1" t="s">
        <v>156</v>
      </c>
    </row>
    <row r="65" spans="1:4" ht="42.75">
      <c r="A65" s="7" t="s">
        <v>46</v>
      </c>
      <c r="B65" s="1" t="s">
        <v>157</v>
      </c>
    </row>
    <row r="66" spans="1:4" ht="57">
      <c r="A66" s="7" t="s">
        <v>265</v>
      </c>
      <c r="B66" s="1" t="s">
        <v>158</v>
      </c>
    </row>
    <row r="67" spans="1:4" ht="15">
      <c r="A67" s="14" t="s">
        <v>278</v>
      </c>
      <c r="B67" s="14" t="s">
        <v>278</v>
      </c>
      <c r="C67" s="14" t="s">
        <v>278</v>
      </c>
      <c r="D67" s="14" t="s">
        <v>278</v>
      </c>
    </row>
    <row r="68" spans="1:4" ht="15">
      <c r="A68" s="7" t="s">
        <v>36</v>
      </c>
      <c r="B68" s="1" t="s">
        <v>164</v>
      </c>
    </row>
    <row r="69" spans="1:4" ht="15">
      <c r="A69" s="7" t="s">
        <v>263</v>
      </c>
      <c r="B69" s="1" t="s">
        <v>264</v>
      </c>
    </row>
    <row r="70" spans="1:4" ht="42.75">
      <c r="A70" s="7" t="s">
        <v>45</v>
      </c>
      <c r="B70" s="1" t="s">
        <v>166</v>
      </c>
    </row>
    <row r="71" spans="1:4" ht="28.5">
      <c r="A71" s="7" t="s">
        <v>46</v>
      </c>
      <c r="B71" s="1" t="s">
        <v>167</v>
      </c>
    </row>
    <row r="72" spans="1:4" ht="28.5">
      <c r="A72" s="7" t="s">
        <v>265</v>
      </c>
      <c r="B72" s="1" t="s">
        <v>168</v>
      </c>
    </row>
    <row r="73" spans="1:4" ht="15">
      <c r="A73" s="14" t="s">
        <v>279</v>
      </c>
      <c r="B73" s="14" t="s">
        <v>279</v>
      </c>
      <c r="C73" s="14" t="s">
        <v>279</v>
      </c>
      <c r="D73" s="14" t="s">
        <v>279</v>
      </c>
    </row>
    <row r="74" spans="1:4" ht="15">
      <c r="A74" s="7" t="s">
        <v>36</v>
      </c>
      <c r="B74" s="1" t="s">
        <v>174</v>
      </c>
    </row>
    <row r="75" spans="1:4" ht="15">
      <c r="A75" s="7" t="s">
        <v>263</v>
      </c>
      <c r="B75" s="1" t="s">
        <v>269</v>
      </c>
    </row>
    <row r="76" spans="1:4" ht="28.5">
      <c r="A76" s="7" t="s">
        <v>45</v>
      </c>
      <c r="B76" s="1" t="s">
        <v>178</v>
      </c>
    </row>
    <row r="77" spans="1:4" ht="42.75">
      <c r="A77" s="7" t="s">
        <v>46</v>
      </c>
      <c r="B77" s="1" t="s">
        <v>179</v>
      </c>
    </row>
    <row r="78" spans="1:4" ht="42.75">
      <c r="A78" s="7" t="s">
        <v>265</v>
      </c>
      <c r="B78" s="1" t="s">
        <v>180</v>
      </c>
    </row>
    <row r="79" spans="1:4" ht="15">
      <c r="A79" s="14" t="s">
        <v>280</v>
      </c>
      <c r="B79" s="14" t="s">
        <v>280</v>
      </c>
      <c r="C79" s="14" t="s">
        <v>280</v>
      </c>
      <c r="D79" s="14" t="s">
        <v>280</v>
      </c>
    </row>
    <row r="80" spans="1:4" ht="15">
      <c r="A80" s="7" t="s">
        <v>36</v>
      </c>
      <c r="B80" s="1" t="s">
        <v>54</v>
      </c>
    </row>
    <row r="81" spans="1:4" ht="15">
      <c r="A81" s="7" t="s">
        <v>263</v>
      </c>
      <c r="B81" s="1" t="s">
        <v>264</v>
      </c>
    </row>
    <row r="82" spans="1:4" ht="42.75">
      <c r="A82" s="7" t="s">
        <v>45</v>
      </c>
      <c r="B82" s="1" t="s">
        <v>185</v>
      </c>
    </row>
    <row r="83" spans="1:4" ht="42.75">
      <c r="A83" s="7" t="s">
        <v>46</v>
      </c>
      <c r="B83" s="1" t="s">
        <v>186</v>
      </c>
    </row>
    <row r="84" spans="1:4" ht="42.75">
      <c r="A84" s="7" t="s">
        <v>265</v>
      </c>
      <c r="B84" s="1" t="s">
        <v>187</v>
      </c>
    </row>
    <row r="85" spans="1:4" ht="15">
      <c r="A85" s="14" t="s">
        <v>281</v>
      </c>
      <c r="B85" s="14" t="s">
        <v>281</v>
      </c>
      <c r="C85" s="14" t="s">
        <v>281</v>
      </c>
      <c r="D85" s="14" t="s">
        <v>281</v>
      </c>
    </row>
    <row r="86" spans="1:4" ht="15">
      <c r="A86" s="7" t="s">
        <v>36</v>
      </c>
      <c r="B86" s="1" t="s">
        <v>54</v>
      </c>
    </row>
    <row r="87" spans="1:4" ht="15">
      <c r="A87" s="7" t="s">
        <v>263</v>
      </c>
      <c r="B87" s="1" t="s">
        <v>16</v>
      </c>
    </row>
    <row r="88" spans="1:4" ht="42.75">
      <c r="A88" s="7" t="s">
        <v>45</v>
      </c>
      <c r="B88" s="1" t="s">
        <v>192</v>
      </c>
    </row>
    <row r="89" spans="1:4" ht="42.75">
      <c r="A89" s="7" t="s">
        <v>46</v>
      </c>
      <c r="B89" s="1" t="s">
        <v>193</v>
      </c>
    </row>
    <row r="90" spans="1:4" ht="57">
      <c r="A90" s="7" t="s">
        <v>265</v>
      </c>
      <c r="B90" s="1" t="s">
        <v>194</v>
      </c>
    </row>
    <row r="91" spans="1:4" ht="15">
      <c r="A91" s="14" t="s">
        <v>282</v>
      </c>
      <c r="B91" s="14" t="s">
        <v>282</v>
      </c>
      <c r="C91" s="14" t="s">
        <v>282</v>
      </c>
      <c r="D91" s="14" t="s">
        <v>282</v>
      </c>
    </row>
    <row r="92" spans="1:4" ht="15">
      <c r="A92" s="7" t="s">
        <v>36</v>
      </c>
      <c r="B92" s="1" t="s">
        <v>200</v>
      </c>
    </row>
    <row r="93" spans="1:4" ht="15">
      <c r="A93" s="7" t="s">
        <v>263</v>
      </c>
      <c r="B93" s="1" t="s">
        <v>264</v>
      </c>
    </row>
    <row r="94" spans="1:4" ht="42.75">
      <c r="A94" s="7" t="s">
        <v>45</v>
      </c>
      <c r="B94" s="1" t="s">
        <v>202</v>
      </c>
    </row>
    <row r="95" spans="1:4" ht="42.75">
      <c r="A95" s="7" t="s">
        <v>46</v>
      </c>
      <c r="B95" s="1" t="s">
        <v>203</v>
      </c>
    </row>
    <row r="96" spans="1:4" ht="57">
      <c r="A96" s="7" t="s">
        <v>265</v>
      </c>
      <c r="B96" s="1" t="s">
        <v>204</v>
      </c>
    </row>
    <row r="97" spans="1:4" ht="15">
      <c r="A97" s="14" t="s">
        <v>283</v>
      </c>
      <c r="B97" s="14" t="s">
        <v>283</v>
      </c>
      <c r="C97" s="14" t="s">
        <v>283</v>
      </c>
      <c r="D97" s="14" t="s">
        <v>283</v>
      </c>
    </row>
    <row r="98" spans="1:4" ht="15">
      <c r="A98" s="7" t="s">
        <v>36</v>
      </c>
      <c r="B98" s="1" t="s">
        <v>209</v>
      </c>
    </row>
    <row r="99" spans="1:4" ht="15">
      <c r="A99" s="7" t="s">
        <v>263</v>
      </c>
      <c r="B99" s="1" t="s">
        <v>284</v>
      </c>
    </row>
    <row r="100" spans="1:4" ht="28.5">
      <c r="A100" s="7" t="s">
        <v>45</v>
      </c>
      <c r="B100" s="1" t="s">
        <v>211</v>
      </c>
    </row>
    <row r="101" spans="1:4" ht="42.75">
      <c r="A101" s="7" t="s">
        <v>46</v>
      </c>
      <c r="B101" s="1" t="s">
        <v>212</v>
      </c>
    </row>
    <row r="102" spans="1:4" ht="42.75">
      <c r="A102" s="7" t="s">
        <v>265</v>
      </c>
      <c r="B102" s="1" t="s">
        <v>213</v>
      </c>
    </row>
    <row r="103" spans="1:4" ht="15">
      <c r="A103" s="14" t="s">
        <v>285</v>
      </c>
      <c r="B103" s="14" t="s">
        <v>285</v>
      </c>
      <c r="C103" s="14" t="s">
        <v>285</v>
      </c>
      <c r="D103" s="14" t="s">
        <v>285</v>
      </c>
    </row>
    <row r="104" spans="1:4" ht="15">
      <c r="A104" s="7" t="s">
        <v>36</v>
      </c>
      <c r="B104" s="1" t="s">
        <v>209</v>
      </c>
    </row>
    <row r="105" spans="1:4" ht="15">
      <c r="A105" s="7" t="s">
        <v>263</v>
      </c>
      <c r="B105" s="1" t="s">
        <v>284</v>
      </c>
    </row>
    <row r="106" spans="1:4" ht="28.5">
      <c r="A106" s="7" t="s">
        <v>45</v>
      </c>
      <c r="B106" s="1" t="s">
        <v>218</v>
      </c>
    </row>
    <row r="107" spans="1:4" ht="28.5">
      <c r="A107" s="7" t="s">
        <v>46</v>
      </c>
      <c r="B107" s="1" t="s">
        <v>219</v>
      </c>
    </row>
    <row r="108" spans="1:4" ht="42.75">
      <c r="A108" s="7" t="s">
        <v>265</v>
      </c>
      <c r="B108" s="1" t="s">
        <v>220</v>
      </c>
    </row>
    <row r="109" spans="1:4" ht="15">
      <c r="A109" s="14" t="s">
        <v>286</v>
      </c>
      <c r="B109" s="14" t="s">
        <v>286</v>
      </c>
      <c r="C109" s="14" t="s">
        <v>286</v>
      </c>
      <c r="D109" s="14" t="s">
        <v>286</v>
      </c>
    </row>
    <row r="110" spans="1:4" ht="15">
      <c r="A110" s="7" t="s">
        <v>36</v>
      </c>
      <c r="B110" s="1" t="s">
        <v>226</v>
      </c>
    </row>
    <row r="111" spans="1:4" ht="15">
      <c r="A111" s="7" t="s">
        <v>263</v>
      </c>
      <c r="B111" s="1" t="s">
        <v>264</v>
      </c>
    </row>
    <row r="112" spans="1:4" ht="42.75">
      <c r="A112" s="7" t="s">
        <v>45</v>
      </c>
      <c r="B112" s="1" t="s">
        <v>228</v>
      </c>
    </row>
    <row r="113" spans="1:4" ht="42.75">
      <c r="A113" s="7" t="s">
        <v>46</v>
      </c>
      <c r="B113" s="1" t="s">
        <v>229</v>
      </c>
    </row>
    <row r="114" spans="1:4" ht="42.75">
      <c r="A114" s="7" t="s">
        <v>265</v>
      </c>
      <c r="B114" s="1" t="s">
        <v>230</v>
      </c>
    </row>
    <row r="115" spans="1:4" ht="15">
      <c r="A115" s="14" t="s">
        <v>287</v>
      </c>
      <c r="B115" s="14" t="s">
        <v>287</v>
      </c>
      <c r="C115" s="14" t="s">
        <v>287</v>
      </c>
      <c r="D115" s="14" t="s">
        <v>287</v>
      </c>
    </row>
    <row r="116" spans="1:4" ht="15">
      <c r="A116" s="7" t="s">
        <v>36</v>
      </c>
      <c r="B116" s="1" t="s">
        <v>226</v>
      </c>
    </row>
    <row r="117" spans="1:4" ht="15">
      <c r="A117" s="7" t="s">
        <v>263</v>
      </c>
      <c r="B117" s="1" t="s">
        <v>264</v>
      </c>
    </row>
    <row r="118" spans="1:4" ht="28.5">
      <c r="A118" s="7" t="s">
        <v>45</v>
      </c>
      <c r="B118" s="1" t="s">
        <v>236</v>
      </c>
    </row>
    <row r="119" spans="1:4" ht="57">
      <c r="A119" s="7" t="s">
        <v>46</v>
      </c>
      <c r="B119" s="1" t="s">
        <v>237</v>
      </c>
    </row>
    <row r="120" spans="1:4" ht="42.75">
      <c r="A120" s="7" t="s">
        <v>265</v>
      </c>
      <c r="B120" s="1" t="s">
        <v>238</v>
      </c>
    </row>
    <row r="121" spans="1:4" ht="15">
      <c r="A121" s="14" t="s">
        <v>288</v>
      </c>
      <c r="B121" s="14" t="s">
        <v>288</v>
      </c>
      <c r="C121" s="14" t="s">
        <v>288</v>
      </c>
      <c r="D121" s="14" t="s">
        <v>288</v>
      </c>
    </row>
    <row r="122" spans="1:4" ht="15">
      <c r="A122" s="7" t="s">
        <v>36</v>
      </c>
      <c r="B122" s="1" t="s">
        <v>244</v>
      </c>
    </row>
    <row r="123" spans="1:4" ht="15">
      <c r="A123" s="7" t="s">
        <v>263</v>
      </c>
      <c r="B123" s="1" t="s">
        <v>284</v>
      </c>
    </row>
    <row r="124" spans="1:4" ht="28.5">
      <c r="A124" s="7" t="s">
        <v>45</v>
      </c>
      <c r="B124" s="1" t="s">
        <v>246</v>
      </c>
    </row>
    <row r="125" spans="1:4" ht="42.75">
      <c r="A125" s="7" t="s">
        <v>46</v>
      </c>
      <c r="B125" s="1" t="s">
        <v>247</v>
      </c>
    </row>
    <row r="126" spans="1:4" ht="57">
      <c r="A126" s="7" t="s">
        <v>265</v>
      </c>
      <c r="B126" s="1" t="s">
        <v>248</v>
      </c>
    </row>
    <row r="127" spans="1:4" ht="15">
      <c r="A127" s="14" t="s">
        <v>289</v>
      </c>
      <c r="B127" s="14" t="s">
        <v>289</v>
      </c>
      <c r="C127" s="14" t="s">
        <v>289</v>
      </c>
      <c r="D127" s="14" t="s">
        <v>289</v>
      </c>
    </row>
    <row r="128" spans="1:4" ht="15">
      <c r="A128" s="7" t="s">
        <v>36</v>
      </c>
      <c r="B128" s="1" t="s">
        <v>254</v>
      </c>
    </row>
    <row r="129" spans="1:2" ht="15">
      <c r="A129" s="7" t="s">
        <v>263</v>
      </c>
      <c r="B129" s="1" t="s">
        <v>264</v>
      </c>
    </row>
    <row r="130" spans="1:2" ht="28.5">
      <c r="A130" s="7" t="s">
        <v>45</v>
      </c>
      <c r="B130" s="1" t="s">
        <v>256</v>
      </c>
    </row>
    <row r="131" spans="1:2" ht="42.75">
      <c r="A131" s="7" t="s">
        <v>46</v>
      </c>
      <c r="B131" s="1" t="s">
        <v>257</v>
      </c>
    </row>
    <row r="132" spans="1:2" ht="42.75">
      <c r="A132" s="7" t="s">
        <v>265</v>
      </c>
      <c r="B132" s="1" t="s">
        <v>258</v>
      </c>
    </row>
  </sheetData>
  <mergeCells count="22">
    <mergeCell ref="A121:D121"/>
    <mergeCell ref="A127:D127"/>
    <mergeCell ref="A91:D91"/>
    <mergeCell ref="A97:D97"/>
    <mergeCell ref="A103:D103"/>
    <mergeCell ref="A109:D109"/>
    <mergeCell ref="A115:D115"/>
    <mergeCell ref="A61:D61"/>
    <mergeCell ref="A67:D67"/>
    <mergeCell ref="A73:D73"/>
    <mergeCell ref="A79:D79"/>
    <mergeCell ref="A85:D85"/>
    <mergeCell ref="A31:D31"/>
    <mergeCell ref="A37:D37"/>
    <mergeCell ref="A43:D43"/>
    <mergeCell ref="A49:D49"/>
    <mergeCell ref="A55:D55"/>
    <mergeCell ref="A1:D1"/>
    <mergeCell ref="A7:D7"/>
    <mergeCell ref="A13:D13"/>
    <mergeCell ref="A19:D19"/>
    <mergeCell ref="A25:D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showGridLines="0" workbookViewId="0">
      <selection activeCell="E16" sqref="E16"/>
    </sheetView>
  </sheetViews>
  <sheetFormatPr defaultRowHeight="14.25"/>
  <cols>
    <col min="1" max="4" width="22" customWidth="1"/>
  </cols>
  <sheetData>
    <row r="1" spans="1:4" ht="15">
      <c r="A1" s="6" t="s">
        <v>14</v>
      </c>
      <c r="B1" s="6" t="s">
        <v>13</v>
      </c>
      <c r="C1" s="6" t="s">
        <v>11</v>
      </c>
      <c r="D1" s="6" t="s">
        <v>38</v>
      </c>
    </row>
    <row r="2" spans="1:4">
      <c r="A2" t="s">
        <v>3</v>
      </c>
      <c r="B2" t="s">
        <v>15</v>
      </c>
      <c r="C2" t="s">
        <v>15</v>
      </c>
      <c r="D2" t="s">
        <v>56</v>
      </c>
    </row>
    <row r="3" spans="1:4">
      <c r="A3" t="s">
        <v>18</v>
      </c>
      <c r="B3" t="s">
        <v>17</v>
      </c>
      <c r="C3" t="s">
        <v>16</v>
      </c>
      <c r="D3" t="s">
        <v>97</v>
      </c>
    </row>
    <row r="4" spans="1:4">
      <c r="A4" t="s">
        <v>20</v>
      </c>
      <c r="B4" t="s">
        <v>19</v>
      </c>
      <c r="C4" t="s">
        <v>17</v>
      </c>
      <c r="D4" t="s">
        <v>154</v>
      </c>
    </row>
    <row r="5" spans="1:4">
      <c r="A5" t="s">
        <v>23</v>
      </c>
      <c r="B5" t="s">
        <v>22</v>
      </c>
      <c r="C5" t="s">
        <v>21</v>
      </c>
      <c r="D5" t="s">
        <v>176</v>
      </c>
    </row>
    <row r="6" spans="1:4">
      <c r="A6" t="s">
        <v>24</v>
      </c>
      <c r="C6" t="s">
        <v>19</v>
      </c>
      <c r="D6" t="s">
        <v>235</v>
      </c>
    </row>
    <row r="7" spans="1:4">
      <c r="D7" t="s">
        <v>290</v>
      </c>
    </row>
    <row r="8" spans="1:4">
      <c r="D8" t="s">
        <v>291</v>
      </c>
    </row>
    <row r="9" spans="1:4">
      <c r="D9" t="s">
        <v>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B23B474D6F3541BC2BE4E2323000F8" ma:contentTypeVersion="10" ma:contentTypeDescription="Create a new document." ma:contentTypeScope="" ma:versionID="13ad64b461ab0043413930c04a1a2534">
  <xsd:schema xmlns:xsd="http://www.w3.org/2001/XMLSchema" xmlns:xs="http://www.w3.org/2001/XMLSchema" xmlns:p="http://schemas.microsoft.com/office/2006/metadata/properties" xmlns:ns3="06aebd03-ee46-4989-8805-f19097587d62" targetNamespace="http://schemas.microsoft.com/office/2006/metadata/properties" ma:root="true" ma:fieldsID="5004d9885787e7bada0e716e24677986" ns3:_="">
    <xsd:import namespace="06aebd03-ee46-4989-8805-f19097587d6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aebd03-ee46-4989-8805-f19097587d6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6aebd03-ee46-4989-8805-f19097587d62" xsi:nil="true"/>
  </documentManagement>
</p:properties>
</file>

<file path=customXml/itemProps1.xml><?xml version="1.0" encoding="utf-8"?>
<ds:datastoreItem xmlns:ds="http://schemas.openxmlformats.org/officeDocument/2006/customXml" ds:itemID="{26DEF6D6-FC12-4AFE-9950-7333EBFCF5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aebd03-ee46-4989-8805-f19097587d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5B83F9-A3D8-41CB-A872-56053EA1661B}">
  <ds:schemaRefs>
    <ds:schemaRef ds:uri="http://schemas.microsoft.com/sharepoint/v3/contenttype/forms"/>
  </ds:schemaRefs>
</ds:datastoreItem>
</file>

<file path=customXml/itemProps3.xml><?xml version="1.0" encoding="utf-8"?>
<ds:datastoreItem xmlns:ds="http://schemas.openxmlformats.org/officeDocument/2006/customXml" ds:itemID="{1471E440-61B8-4755-A0D8-9712C2AA173F}">
  <ds:schemaRefs>
    <ds:schemaRef ds:uri="http://www.w3.org/XML/1998/namespace"/>
    <ds:schemaRef ds:uri="06aebd03-ee46-4989-8805-f19097587d62"/>
    <ds:schemaRef ds:uri="http://schemas.microsoft.com/office/2006/metadata/properties"/>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Bug Tracker</vt:lpstr>
      <vt:lpstr>Summary</vt:lpstr>
      <vt:lpstr>Defect Details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Abida Gul</dc:creator>
  <cp:lastModifiedBy>Abida Gul</cp:lastModifiedBy>
  <dcterms:created xsi:type="dcterms:W3CDTF">2026-06-17T04:49:52Z</dcterms:created>
  <dcterms:modified xsi:type="dcterms:W3CDTF">2026-06-17T04:50:28Z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0x01010095B23B474D6F3541BC2BE4E2323000F8</vt:lpwstr>
  </property>
</Properties>
</file>